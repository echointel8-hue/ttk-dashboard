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_รายการมาตรฐาน" sheetId="2" state="visible" r:id="rId4"/>
    <sheet name="1_รายรับรายจ่ายรายเดือน" sheetId="3" state="visible" r:id="rId5"/>
    <sheet name="2_บริการรายเดือน" sheetId="4" state="visible" r:id="rId6"/>
    <sheet name="3_บริการรายฝ่าย" sheetId="5" state="visible" r:id="rId7"/>
    <sheet name="4_โอนเงินสปสช" sheetId="6" state="visible" r:id="rId8"/>
    <sheet name="5_รายรับรายปี" sheetId="7" state="visible" r:id="rId9"/>
    <sheet name="6_รายจ่ายรายปี" sheetId="8" state="visible" r:id="rId10"/>
    <sheet name="7_กองทุนสปสชรายปี" sheetId="9" state="visible" r:id="rId11"/>
    <sheet name="8_ชดเชยรายฝ่าย_อ้างอิง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<sst xmlns="http://schemas.openxmlformats.org/spreadsheetml/2006/main" count="373" uniqueCount="269">
  <si>
    <t xml:space="preserve">ไฟล์ Excel ต้นแบบสำหรับอัปเดตข้อมูล Dashboard การเงินและปฏิบัติการ</t>
  </si>
  <si>
    <t xml:space="preserve">โรงพยาบาลท่าตะเกียบ — จัดทำจากเอกสาร "ประชุมทีมบริหารการเงินการคลัง 11 สิงหาคม 2569.pdf"</t>
  </si>
  <si>
    <t xml:space="preserve">วิธีใช้งาน</t>
  </si>
  <si>
    <t xml:space="preserve">1) กรอก/แก้ไขข้อมูลในชีตที่ต้องการ (เซลล์พื้นหลังสีเหลืองอ่อน = ช่องกรอกข้อมูล) แล้วบันทึกไฟล์</t>
  </si>
  <si>
    <t xml:space="preserve">2) เปิดไฟล์ Dashboard (.html) ไปที่แท็บ "⚙ จัดการข้อมูล" &gt; "นำเข้าจาก Excel"</t>
  </si>
  <si>
    <t xml:space="preserve">3) เลือกตารางปลายทางให้ตรงกับชีตที่แก้ไข (ดูตารางจับคู่ด้านล่าง) แล้วเลือกไฟล์นี้</t>
  </si>
  <si>
    <t xml:space="preserve">4) กดพรีวิว ตรวจสอบข้อมูลให้ถูกต้อง แล้วเลือก "เพิ่มต่อท้าย" (เติมแถวใหม่) หรือ "เขียนทับทั้งหมด" (แทนที่ข้อมูลเดิมทั้งตาราง)</t>
  </si>
  <si>
    <t xml:space="preserve">5) หัวคอลัมน์ในชีตนี้ต้องตรงกับที่กำหนดไว้เป๊ะ ห้ามเปลี่ยนชื่อหัวคอลัมน์ ห้ามแทรก/สลับคอลัมน์</t>
  </si>
  <si>
    <t xml:space="preserve">การจับคู่ชีต กับ ส่วนต่างๆ ของ Dashboard และแหล่งอ้างอิงในเอกสารประชุม</t>
  </si>
  <si>
    <t xml:space="preserve">ชีต</t>
  </si>
  <si>
    <t xml:space="preserve">ส่วนของ Dashboard</t>
  </si>
  <si>
    <t xml:space="preserve">ตารางปลายทางที่ต้องเลือกตอนนำเข้า</t>
  </si>
  <si>
    <t xml:space="preserve">หน้าอ้างอิงในเอกสาร PDF ต้นฉบับ</t>
  </si>
  <si>
    <t xml:space="preserve">1_รายรับรายจ่ายรายเดือน</t>
  </si>
  <si>
    <t xml:space="preserve">1) รายรับ-รายจ่าย (กำไรขาดทุน)</t>
  </si>
  <si>
    <t xml:space="preserve">1. รายรับ-รายจ่ายรายเดือน</t>
  </si>
  <si>
    <t xml:space="preserve">59-62</t>
  </si>
  <si>
    <t xml:space="preserve">2_บริการรายเดือน</t>
  </si>
  <si>
    <t xml:space="preserve">2) บริการและรายได้ - รายเดือน</t>
  </si>
  <si>
    <t xml:space="preserve">2. บริการและรายได้ รายเดือน</t>
  </si>
  <si>
    <t xml:space="preserve">16</t>
  </si>
  <si>
    <t xml:space="preserve">3_บริการรายฝ่าย</t>
  </si>
  <si>
    <t xml:space="preserve">2) บริการและรายได้ - รายฝ่าย</t>
  </si>
  <si>
    <t xml:space="preserve">2. บริการและรายได้ รายฝ่าย</t>
  </si>
  <si>
    <t xml:space="preserve">17</t>
  </si>
  <si>
    <t xml:space="preserve">4_โอนเงินสปสช</t>
  </si>
  <si>
    <t xml:space="preserve">3) การโอนเงิน สปสช.</t>
  </si>
  <si>
    <t xml:space="preserve">3. การโอนเงิน สปสช.</t>
  </si>
  <si>
    <t xml:space="preserve">14</t>
  </si>
  <si>
    <t xml:space="preserve">5_รายรับรายปี</t>
  </si>
  <si>
    <t xml:space="preserve">1) รายละเอียดรายรับ (ส่วนขยาย)</t>
  </si>
  <si>
    <t xml:space="preserve">รายละเอียดรายรับรายปี</t>
  </si>
  <si>
    <t xml:space="preserve">33</t>
  </si>
  <si>
    <t xml:space="preserve">6_รายจ่ายรายปี</t>
  </si>
  <si>
    <t xml:space="preserve">1) รายละเอียดรายจ่าย (ส่วนขยาย)</t>
  </si>
  <si>
    <t xml:space="preserve">รายละเอียดรายจ่ายรายปี</t>
  </si>
  <si>
    <t xml:space="preserve">58</t>
  </si>
  <si>
    <t xml:space="preserve">7_กองทุนสปสชรายปี</t>
  </si>
  <si>
    <t xml:space="preserve">2) เงินชดเชย สปสช. แยกตามกองทุน</t>
  </si>
  <si>
    <t xml:space="preserve">กองทุน สปสช. รายปี</t>
  </si>
  <si>
    <t xml:space="preserve">8_ชดเชยรายฝ่าย_อ้างอิง</t>
  </si>
  <si>
    <t xml:space="preserve">2) เงินชดเชย สปสช. แยกรายฝ่าย (อ้างอิงเท่านั้น)</t>
  </si>
  <si>
    <t xml:space="preserve">— (กรอกในไฟล์ Dashboard โดยตรงผ่านตารางข้อมูล หากต้องการแก้ไข)</t>
  </si>
  <si>
    <t xml:space="preserve">41, 43, 45</t>
  </si>
  <si>
    <t xml:space="preserve">ข้อควรระวัง / ข้อจำกัดของข้อมูล</t>
  </si>
  <si>
    <t xml:space="preserve">- ทุกตัวเลขตั้งต้นในไฟล์นี้คัดลอกตรงจากสไลด์การประชุมวันที่ 11 ส.ค. 2569 ไม่มีการสมมติตัวเลขเพิ่มเติม</t>
  </si>
  <si>
    <t xml:space="preserve">- ปีงบประมาณ 2569 ในตาราง 1, 2, 3 มีข้อมูลถึงเดือน มิ.ย.69/ก.ค.69 เท่านั้น (ตามที่ระบุในเอกสารต้นฉบับ) ให้เพิ่มแถวเดือนถัดไปเมื่อมีข้อมูลจริง</t>
  </si>
  <si>
    <t xml:space="preserve">- พบความคลาดเคลื่อนเล็กน้อยระหว่างยอดรวมในสไลด์ต่างๆ ของเอกสารต้นฉบับเอง (เช่น รายจ่ายปีงบ 2566 ต่างกัน 62,676.16 บาท ระหว่างหน้า 59 กับหน้า 58) ได้บันทึกไว้เป็นหมายเหตุในไฟล์ Dashboard แล้ว ไม่ได้แก้ไขตัวเลขต้นฉบับ</t>
  </si>
  <si>
    <t xml:space="preserve">- ชีต 8 (ชดเชยรายฝ่าย) มีข้อมูลครบเฉพาะ งานกายภาพ, OPD/NCD, IPD เนื่องจากเอกสารต้นฉบับไม่มีตารางตัวเลขสำหรับหน่วยงานอื่น (ปฐมภูมิ, แพทย์แผนไทย, จิตเวช, ทันตกรรม)</t>
  </si>
  <si>
    <t xml:space="preserve">- ชีต "0_รายการมาตรฐาน" เป็นแหล่งข้อมูล Dropdown ห้ามลบหรือย้ายชีตนี้</t>
  </si>
  <si>
    <t xml:space="preserve">- คอลัมน์ "กำไร(ขาดทุน)" ในชีต 1 เป็นสูตรคำนวณอัตโนมัติ (รายรับ-รายจ่าย) ไม่ต้องกรอกเอง</t>
  </si>
  <si>
    <t xml:space="preserve">รายการมาตรฐานสำหรับ Dropdown (ห้ามลบ/ย้ายชีตนี้ — ชีตอื่นอ้างอิงมาจากที่นี่)</t>
  </si>
  <si>
    <t xml:space="preserve">ปีงบประมาณ</t>
  </si>
  <si>
    <t xml:space="preserve">เดือน</t>
  </si>
  <si>
    <t xml:space="preserve">หน่วยงาน (หน้า 17)</t>
  </si>
  <si>
    <t xml:space="preserve">รายการกองทุนค่าบริการทางการแพทย์ (หน้า 33)</t>
  </si>
  <si>
    <t xml:space="preserve">กองทุนย่อยเฉพาะด้าน สปสช. (หน้า 14)</t>
  </si>
  <si>
    <t xml:space="preserve">2566</t>
  </si>
  <si>
    <t xml:space="preserve">ต.ค.</t>
  </si>
  <si>
    <t xml:space="preserve">การเงิน</t>
  </si>
  <si>
    <t xml:space="preserve">กองทุนผู้ป่วยนอก</t>
  </si>
  <si>
    <t xml:space="preserve">PROVIDER FINANCIAL RISK PROTECTION</t>
  </si>
  <si>
    <t xml:space="preserve">2567</t>
  </si>
  <si>
    <t xml:space="preserve">พ.ย.</t>
  </si>
  <si>
    <t xml:space="preserve">ผู้ป่วยนอก</t>
  </si>
  <si>
    <t xml:space="preserve">กองทุนผู้ป่วยใน</t>
  </si>
  <si>
    <t xml:space="preserve">กรณีจ่ายตรงหน่วยบริการ</t>
  </si>
  <si>
    <t xml:space="preserve">2568</t>
  </si>
  <si>
    <t xml:space="preserve">ธ.ค.</t>
  </si>
  <si>
    <t xml:space="preserve">ห้องคลอด</t>
  </si>
  <si>
    <t xml:space="preserve">กองทุน Central Reimburse</t>
  </si>
  <si>
    <t xml:space="preserve">กรณีจำเป็นต้องกำกับการใช้บริการอย่างใกล้ชิด</t>
  </si>
  <si>
    <t xml:space="preserve">2569</t>
  </si>
  <si>
    <t xml:space="preserve">ม.ค.</t>
  </si>
  <si>
    <t xml:space="preserve">งานอุบัติเหตุฉุกเฉินและนิติเวช</t>
  </si>
  <si>
    <t xml:space="preserve">งบค่าบริการทางการแพทย์ที่เบิกจ่ายในลักษณะงบลงทุน (ค่าเสื่อม)</t>
  </si>
  <si>
    <t xml:space="preserve">กรณีที่ต้องบริหารแบบเฉพาะโรค</t>
  </si>
  <si>
    <t xml:space="preserve">2570</t>
  </si>
  <si>
    <t xml:space="preserve">ก.พ.</t>
  </si>
  <si>
    <t xml:space="preserve">ทันตกรรม</t>
  </si>
  <si>
    <t xml:space="preserve">บริการฟื้นฟูสมรรถภาพด้านการแพทย์</t>
  </si>
  <si>
    <t xml:space="preserve">กองทุนผู้ป่วยใน CAP</t>
  </si>
  <si>
    <t xml:space="preserve">2571</t>
  </si>
  <si>
    <t xml:space="preserve">มี.ค.</t>
  </si>
  <si>
    <t xml:space="preserve">ผู้ป่วยใน</t>
  </si>
  <si>
    <t xml:space="preserve">บริการจ่ายตามเกณฑ์คุณภาพผลงานบริการ</t>
  </si>
  <si>
    <t xml:space="preserve">ค่าบริการฟื้นฟูสมรรถภาพด้านการแพทย์</t>
  </si>
  <si>
    <t xml:space="preserve">เม.ย.</t>
  </si>
  <si>
    <t xml:space="preserve">แพทย์แผนไทย (3,718 ครั้ง / จ่ายยา 7,059 คอร์ส)</t>
  </si>
  <si>
    <t xml:space="preserve">งบแพทย์แผนไทย</t>
  </si>
  <si>
    <t xml:space="preserve">ค่าบริการสาธารณสุขเพิ่มเติมสำหรับบริการระดับปฐมภูมิ</t>
  </si>
  <si>
    <t xml:space="preserve">พ.ค.</t>
  </si>
  <si>
    <t xml:space="preserve">จิตเวชและยาเสพติด</t>
  </si>
  <si>
    <t xml:space="preserve">กองทุนสร้างเสริมสุขภาพและป้องกันโรค</t>
  </si>
  <si>
    <t xml:space="preserve">ค่ารักษาพยาบาลผู้ประกันตนที่เป็นคนพิการ สิทธิประกันสังคม</t>
  </si>
  <si>
    <t xml:space="preserve">มิ.ย.</t>
  </si>
  <si>
    <t xml:space="preserve">ปฐมภูมิ</t>
  </si>
  <si>
    <t xml:space="preserve">กองทุนเอดส์</t>
  </si>
  <si>
    <t xml:space="preserve">งบค่าใช้จ่ายสำหรับหน่วยบริการในพื้นที่กันดาร เสี่ยงภัย และ 3 จังหวัดชายแดนภาคใต้</t>
  </si>
  <si>
    <t xml:space="preserve">ก.ค.</t>
  </si>
  <si>
    <t xml:space="preserve">กายภาพ</t>
  </si>
  <si>
    <t xml:space="preserve">บริการควบคุมป้องกันและรักษาผู้ป่วยโรคเบาหวานและความดันโลหิตสูง</t>
  </si>
  <si>
    <t xml:space="preserve">งบค่าบริการดูแลรักษาด้วยยาต้านและบริการที่เกี่ยวข้อง</t>
  </si>
  <si>
    <t xml:space="preserve">ส.ค.</t>
  </si>
  <si>
    <t xml:space="preserve">งานประกัน</t>
  </si>
  <si>
    <t xml:space="preserve">ก.ย.</t>
  </si>
  <si>
    <t xml:space="preserve">LAB</t>
  </si>
  <si>
    <t xml:space="preserve">งบค่าบริการเพิ่มเติม</t>
  </si>
  <si>
    <t xml:space="preserve">เงินช่วยเหลือเบื้องต้นผู้รับบริการและผู้ให้บริการ</t>
  </si>
  <si>
    <t xml:space="preserve">งบบริการป้องกันการติดเชื้อ HIV</t>
  </si>
  <si>
    <t xml:space="preserve">สวัสดิการรักษาพยาบาลของพนักงานส่วนท้องถิ่น</t>
  </si>
  <si>
    <t xml:space="preserve">งบบริการผู้ป่วยนอกจ่ายแบบเหมาจ่ายต่อผู้มีสิทธิ</t>
  </si>
  <si>
    <t xml:space="preserve">งบประมาณตามมติคณะกรรมการหลักประกันสุขภาพแห่งชาติ</t>
  </si>
  <si>
    <t xml:space="preserve">พระราชกำหนดกู้เงินฯ</t>
  </si>
  <si>
    <t xml:space="preserve">บริการกรณีเฉพาะ</t>
  </si>
  <si>
    <t xml:space="preserve">รายการรายได้สูง(ต่ำ)กว่าค่าใช้จ่ายสะสมตามมติบอร์ด</t>
  </si>
  <si>
    <t xml:space="preserve">รายการรายได้สูง(ต่ำ)กว่าค่าใช้จ่ายสะสมตามระเบียบ</t>
  </si>
  <si>
    <t xml:space="preserve">บริการสร้างเสริมสุขภาพและป้องกันโรคสำหรับบริการพื้นฐาน (P&amp;P BASIC SERVICE)</t>
  </si>
  <si>
    <t xml:space="preserve">งบกลาง เงินสำรอง จ่ายเพื่อกรณีฉุกเฉินหรือจำเป็น</t>
  </si>
  <si>
    <t xml:space="preserve">ป้องกันได้รับบริการนอกเครือจ่ายกรณีจำเป็น</t>
  </si>
  <si>
    <t xml:space="preserve">ชีตนี้ตรงกับ Dashboard ส่วนที่ 1 (รายรับ-รายจ่าย/กำไรขาดทุน) — แหล่งข้อมูลต้นฉบับ: หน้า 59-62</t>
  </si>
  <si>
    <t xml:space="preserve">ปีงบ</t>
  </si>
  <si>
    <t xml:space="preserve">รายรับ</t>
  </si>
  <si>
    <t xml:space="preserve">รายจ่าย</t>
  </si>
  <si>
    <t xml:space="preserve">กำไร(ขาดทุน)</t>
  </si>
  <si>
    <t xml:space="preserve">หมายเหตุ</t>
  </si>
  <si>
    <t xml:space="preserve">ต.ค.-65</t>
  </si>
  <si>
    <t xml:space="preserve">พ.ย.-65</t>
  </si>
  <si>
    <t xml:space="preserve">ธ.ค.-65</t>
  </si>
  <si>
    <t xml:space="preserve">ม.ค.-66</t>
  </si>
  <si>
    <t xml:space="preserve">ก.พ.-66</t>
  </si>
  <si>
    <t xml:space="preserve">มี.ค.-66</t>
  </si>
  <si>
    <t xml:space="preserve">เม.ย.-66</t>
  </si>
  <si>
    <t xml:space="preserve">พ.ค.-66</t>
  </si>
  <si>
    <t xml:space="preserve">มิ.ย.-66</t>
  </si>
  <si>
    <t xml:space="preserve">ก.ค.-66</t>
  </si>
  <si>
    <t xml:space="preserve">ส.ค.-66</t>
  </si>
  <si>
    <t xml:space="preserve">ก.ย.-66</t>
  </si>
  <si>
    <t xml:space="preserve">ต.ค.-66</t>
  </si>
  <si>
    <t xml:space="preserve">พ.ย.-66</t>
  </si>
  <si>
    <t xml:space="preserve">ธ.ค.-66</t>
  </si>
  <si>
    <t xml:space="preserve">ม.ค.-67</t>
  </si>
  <si>
    <t xml:space="preserve">ก.พ.-67</t>
  </si>
  <si>
    <t xml:space="preserve">มี.ค.-67</t>
  </si>
  <si>
    <t xml:space="preserve">เม.ย.-67</t>
  </si>
  <si>
    <t xml:space="preserve">พ.ค.-67</t>
  </si>
  <si>
    <t xml:space="preserve">มิ.ย.-67</t>
  </si>
  <si>
    <t xml:space="preserve">ก.ค.-67</t>
  </si>
  <si>
    <t xml:space="preserve">ส.ค.-67</t>
  </si>
  <si>
    <t xml:space="preserve">ก.ย.-67</t>
  </si>
  <si>
    <t xml:space="preserve">ต.ค.-67</t>
  </si>
  <si>
    <t xml:space="preserve">พ.ย.-67</t>
  </si>
  <si>
    <t xml:space="preserve">ธ.ค.-67</t>
  </si>
  <si>
    <t xml:space="preserve">ม.ค.-68</t>
  </si>
  <si>
    <t xml:space="preserve">ก.พ.-68</t>
  </si>
  <si>
    <t xml:space="preserve">มี.ค.-68</t>
  </si>
  <si>
    <t xml:space="preserve">เม.ย.-68</t>
  </si>
  <si>
    <t xml:space="preserve">พ.ค.-68</t>
  </si>
  <si>
    <t xml:space="preserve">มิ.ย.-68</t>
  </si>
  <si>
    <t xml:space="preserve">ก.ค.-68</t>
  </si>
  <si>
    <t xml:space="preserve">ส.ค.-68</t>
  </si>
  <si>
    <t xml:space="preserve">ก.ย.-68</t>
  </si>
  <si>
    <t xml:space="preserve">ต.ค.-68</t>
  </si>
  <si>
    <t xml:space="preserve">พ.ย.-68</t>
  </si>
  <si>
    <t xml:space="preserve">ธ.ค.-68</t>
  </si>
  <si>
    <t xml:space="preserve">ม.ค.-69</t>
  </si>
  <si>
    <t xml:space="preserve">ก.พ.-69</t>
  </si>
  <si>
    <t xml:space="preserve">มี.ค.-69</t>
  </si>
  <si>
    <t xml:space="preserve">เม.ย.-69</t>
  </si>
  <si>
    <t xml:space="preserve">พ.ค.-69</t>
  </si>
  <si>
    <t xml:space="preserve">มิ.ย.-69</t>
  </si>
  <si>
    <t xml:space="preserve">สรุปยอดรวมตามปีงบ (คำนวณอัตโนมัติจากข้อมูลด้านบนด้วย SUMIF)</t>
  </si>
  <si>
    <t xml:space="preserve">รายรับรวม</t>
  </si>
  <si>
    <t xml:space="preserve">รายจ่ายรวม</t>
  </si>
  <si>
    <t xml:space="preserve">กำไร(ขาดทุน)รวม</t>
  </si>
  <si>
    <t xml:space="preserve">หมายเหตุ: ปีงบ 2569 ในเอกสารต้นฉบับมีข้อมูลถึงเดือน มิ.ย.69 เท่านั้น (9 เดือน) ให้เพิ่มแถวเดือนถัดไปต่อท้ายเมื่อมีข้อมูลใหม่</t>
  </si>
  <si>
    <t xml:space="preserve">ชีตนี้ตรงกับ Dashboard ส่วนที่ 2 (บริการและรายได้ รายเดือน) — แหล่งข้อมูลต้นฉบับ: หน้า 16</t>
  </si>
  <si>
    <t xml:space="preserve">จำนวนครั้ง</t>
  </si>
  <si>
    <t xml:space="preserve">รายได้</t>
  </si>
  <si>
    <t xml:space="preserve">รวม</t>
  </si>
  <si>
    <t xml:space="preserve">ชีตนี้ตรงกับ Dashboard ส่วนที่ 2 (บริการและรายได้ รายฝ่าย) — แหล่งข้อมูลต้นฉบับ: หน้า 17</t>
  </si>
  <si>
    <t xml:space="preserve">หน่วยงาน</t>
  </si>
  <si>
    <t xml:space="preserve">จำนวน</t>
  </si>
  <si>
    <t xml:space="preserve">ชีตนี้ตรงกับ Dashboard ส่วนที่ 3 (การโอนเงิน สปสช.) — แหล่งข้อมูลต้นฉบับ: หน้า 14 (1 ต.ค.68 - 31 ก.ค.69)</t>
  </si>
  <si>
    <t xml:space="preserve">ลำดับ</t>
  </si>
  <si>
    <t xml:space="preserve">กองทุนย่อยเฉพาะด้าน</t>
  </si>
  <si>
    <t xml:space="preserve">จำนวนเงิน</t>
  </si>
  <si>
    <t xml:space="preserve">รายการหัก</t>
  </si>
  <si>
    <t xml:space="preserve">ชะลอการโอน</t>
  </si>
  <si>
    <t xml:space="preserve">คงเหลือ</t>
  </si>
  <si>
    <t xml:space="preserve">รอหักลบ</t>
  </si>
  <si>
    <t xml:space="preserve">โอนเข้าบัญชี</t>
  </si>
  <si>
    <t xml:space="preserve">ตัวหนังสือยอดโอนเข้าบัญชีสุทธิตามเอกสารต้นฉบับ: "หกสิบแปดล้านเจ็ดแสนสี่หมื่นห้าพันหนึ่งร้อยหกสิบสามบาทหกสตางค์"</t>
  </si>
  <si>
    <t xml:space="preserve">ชีตนี้ตรงกับ Dashboard ส่วนที่ 1 (รายละเอียดรายรับ) — แหล่งข้อมูลต้นฉบับ: หน้า 33</t>
  </si>
  <si>
    <t xml:space="preserve">หมายเหตุ: สูตร SUM ในแถวรวมเป็นผลรวมจากรายการที่กรอกจริง อาจต่างจากยอดในสไลด์เล็กน้อยหากสไลด์ต้นฉบับมีความคลาดเคลื่อนภายใน (ดูคำอธิบายในไฟล์ Dashboard)</t>
  </si>
  <si>
    <t xml:space="preserve">รายการ</t>
  </si>
  <si>
    <t xml:space="preserve">ปีงบ 2566</t>
  </si>
  <si>
    <t xml:space="preserve">ปีงบ 2567</t>
  </si>
  <si>
    <t xml:space="preserve">ปีงบ 2568</t>
  </si>
  <si>
    <t xml:space="preserve">ปีงบ 2569</t>
  </si>
  <si>
    <t xml:space="preserve">รับเงินค่ายา (พรบ., ข้าราชการ, จ่ายเงินสด, UC)</t>
  </si>
  <si>
    <t xml:space="preserve">ค่าธรรมเนียม 30 ต่างด้าว</t>
  </si>
  <si>
    <t xml:space="preserve">ค่าธรรมเนียม 30 UC</t>
  </si>
  <si>
    <t xml:space="preserve">เงินบำรุง</t>
  </si>
  <si>
    <t xml:space="preserve">รับเงินค่ารักษาข้าราชการเบิกจ่ายตรง ผู้ป่วยนอก (เรียกเก็บ)</t>
  </si>
  <si>
    <t xml:space="preserve">รับเงินค่ารักษาข้าราชการเบิกจ่ายตรง ผู้ป่วยใน (เรียกเก็บ)</t>
  </si>
  <si>
    <t xml:space="preserve">รับเงินค่ารักษาพยาบาลประกันสังคมผู้ป่วยใน</t>
  </si>
  <si>
    <t xml:space="preserve">รับเงินค่ารักษาพยาบาลประกันสังคม (72 ชม./กองทุนทดแทน)</t>
  </si>
  <si>
    <t xml:space="preserve">รับเงินค่ารักษาพยาบาลประกันสังคม (หลัง 72 ชั่วโมง)</t>
  </si>
  <si>
    <t xml:space="preserve">รับเงินค่ารักษาพยาบาลประกันสังคม (ทันตกรรม)</t>
  </si>
  <si>
    <t xml:space="preserve">รับเงินค่ารักษาพยาบาลประกันสังคม (ส่งเสริมสุขภาพ)</t>
  </si>
  <si>
    <t xml:space="preserve">รับเงินค่ารักษาพยาบาล พรบ.</t>
  </si>
  <si>
    <t xml:space="preserve">รับเงินประกันสุขภาพต่างด้าว (ขึ้นทะเบียน)</t>
  </si>
  <si>
    <t xml:space="preserve">รับเงินค่ารักษาเบิกต้นสังกัด/ตรวจสุขภาพ</t>
  </si>
  <si>
    <t xml:space="preserve">รับเงินกองทุนประกันสังคม</t>
  </si>
  <si>
    <t xml:space="preserve">รับเงินค่ารักษาพยาบาลผู้ป่วยนอก UC นอก CUP ในจังหวัด</t>
  </si>
  <si>
    <t xml:space="preserve">รับเงินจาก สปสช.</t>
  </si>
  <si>
    <t xml:space="preserve">รับเงินจากสสจ.</t>
  </si>
  <si>
    <t xml:space="preserve">รับเงินจากหน่วยงานอื่น</t>
  </si>
  <si>
    <t xml:space="preserve">รายรับจากระบบปฏิบัติการฉุกเฉิน (EMS)</t>
  </si>
  <si>
    <t xml:space="preserve">รายรับค่ารักษาพยาบาลเบิกจาก อปท.</t>
  </si>
  <si>
    <t xml:space="preserve">รับเงินค่าห้องพิเศษ</t>
  </si>
  <si>
    <t xml:space="preserve">รับเงินค่าใบรับรองแพทย์</t>
  </si>
  <si>
    <t xml:space="preserve">รับชำระหนี้ค้างชำระ</t>
  </si>
  <si>
    <t xml:space="preserve">รับเงินบุคคลที่มีปัญหาสถานะและสิทธิ</t>
  </si>
  <si>
    <t xml:space="preserve">รับเงินคืนสมทบ</t>
  </si>
  <si>
    <t xml:space="preserve">รับเงินค่าสิ่งส่งตรวจ (ตรวจแอลกอฮอล์ในเลือด/..)</t>
  </si>
  <si>
    <t xml:space="preserve">รวม (ตามยอดที่ระบุในสไลด์ต้นฉบับ)</t>
  </si>
  <si>
    <t xml:space="preserve">ชีตนี้ตรงกับ Dashboard ส่วนที่ 1 (รายละเอียดรายจ่าย) — แหล่งข้อมูลต้นฉบับ: หน้า 58</t>
  </si>
  <si>
    <t xml:space="preserve">ค่าจ้างพนักงานกระทรวง สธ.</t>
  </si>
  <si>
    <t xml:space="preserve">ค่าจ้างชั่วคราวรายเดือน</t>
  </si>
  <si>
    <t xml:space="preserve">ค่าจ้างรายคาบ/รายวัน</t>
  </si>
  <si>
    <t xml:space="preserve">เงินสมทบประกันสังคม (ลูกจ้าง)</t>
  </si>
  <si>
    <t xml:space="preserve">เงินสมทบประกันสังคม (นายจ้าง)</t>
  </si>
  <si>
    <t xml:space="preserve">เงินสมทบกองทุนเงินทดแทน</t>
  </si>
  <si>
    <t xml:space="preserve">เงินสมทบจากการรายงานค่าจ้าง</t>
  </si>
  <si>
    <t xml:space="preserve">เงินสมทบกองทุนสะสม (พนักงานกระทรวง) ในส่วนของนายจ้าง</t>
  </si>
  <si>
    <t xml:space="preserve">ค่าตอบแทน</t>
  </si>
  <si>
    <t xml:space="preserve">ค่าจ้างเหมาบริการอื่น</t>
  </si>
  <si>
    <t xml:space="preserve">ค่าครุภัณฑ์</t>
  </si>
  <si>
    <t xml:space="preserve">ค่าวัสดุ (รวมค่าเวชภัณฑ์ยา/เวชภัณฑ์มิใช่ยา/วัสดุการแพทย์ทั่วไป ฯ)</t>
  </si>
  <si>
    <t xml:space="preserve">เงินโอนสนับสนุนอื่นๆ</t>
  </si>
  <si>
    <t xml:space="preserve">ชีตนี้ตรงกับ Dashboard ส่วนที่ 2 (เงินชดเชยจาก สปสช. แยกตามกองทุน) — แหล่งข้อมูลต้นฉบับ: หน้า 33 (ปีงบ 2569 ถึง ก.ค.69)</t>
  </si>
  <si>
    <t xml:space="preserve">ชีตนี้เป็นข้อมูลอ้างอิงประกอบ Dashboard ส่วนที่ 2 (เงินชดเชย สปสช. แยกรายฝ่าย) — ไม่รองรับการนำเข้าอัตโนมัติผ่านปุ่ม "นำเข้าจาก Excel" ในขณะนี้ (โครงสร้างซับซ้อนกว่าตารางอื่น)</t>
  </si>
  <si>
    <t xml:space="preserve">มีข้อมูลตัวเลขครบเฉพาะ 3 หน่วยงาน: งานกายภาพ (หน้า 41), OPD/NCD (หน้า 43), IPD (หน้า 45) — หน่วยงานอื่นไม่มีตารางตัวเลขในเอกสารต้นฉบับ</t>
  </si>
  <si>
    <t xml:space="preserve">งานกายภาพ (ปีงบ 2566-2569) — หน้า 41</t>
  </si>
  <si>
    <t xml:space="preserve">รายการเบิก</t>
  </si>
  <si>
    <t xml:space="preserve">2566 คน/ครั้ง</t>
  </si>
  <si>
    <t xml:space="preserve">2566 ชดเชย</t>
  </si>
  <si>
    <t xml:space="preserve">2567 คน/ครั้ง</t>
  </si>
  <si>
    <t xml:space="preserve">2567 ชดเชย</t>
  </si>
  <si>
    <t xml:space="preserve">2568 คน/ครั้ง</t>
  </si>
  <si>
    <t xml:space="preserve">2568 ชดเชย</t>
  </si>
  <si>
    <t xml:space="preserve">2569 คน/ครั้ง</t>
  </si>
  <si>
    <t xml:space="preserve">2569 ชดเชย</t>
  </si>
  <si>
    <t xml:space="preserve">กายภาพบำบัด</t>
  </si>
  <si>
    <t xml:space="preserve">IMC กายภาพบำบัด</t>
  </si>
  <si>
    <t xml:space="preserve">ให้บริการนอกหน่วยบริการ/ในชุมชน</t>
  </si>
  <si>
    <t xml:space="preserve">จิตบำบัด/พฤติกรรมบำบัด</t>
  </si>
  <si>
    <t xml:space="preserve">กายอุปกรณ์</t>
  </si>
  <si>
    <t xml:space="preserve">ให้บริการนอกเวลาราชการ</t>
  </si>
  <si>
    <t xml:space="preserve">OPD/NCD (ปีงบ 2568-2569) — หน้า 43</t>
  </si>
  <si>
    <t xml:space="preserve">2568 จำนวนราย</t>
  </si>
  <si>
    <t xml:space="preserve">2569 จำนวนราย</t>
  </si>
  <si>
    <t xml:space="preserve">ทดสอบการตั้งครรภ์</t>
  </si>
  <si>
    <t xml:space="preserve">บริการผู้ป่วยเบาหวานชนิดที่ 2 และโรคความดันโลหิตสูง</t>
  </si>
  <si>
    <t xml:space="preserve">IPD (ปีงบ 2568-2569) — หน้า 45</t>
  </si>
  <si>
    <t xml:space="preserve">บริการคัดกรองการได้ยินในทารกแรกเกิด</t>
  </si>
  <si>
    <t xml:space="preserve">Homeward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</si>
</sst>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;[RED]\-#,##0.00;\-"/>
    <numFmt numFmtId="167" formatCode="#,##0;[RED]\-#,##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3D2E"/>
      <name val="TH Sarabun New"/>
      <family val="0"/>
      <charset val="1"/>
    </font>
    <font>
      <sz val="12"/>
      <color rgb="FF445048"/>
      <name val="TH Sarabun New"/>
      <family val="0"/>
      <charset val="1"/>
    </font>
    <font>
      <b val="true"/>
      <sz val="13"/>
      <color rgb="FFFFFFFF"/>
      <name val="TH Sarabun New"/>
      <family val="0"/>
      <charset val="1"/>
    </font>
    <font>
      <sz val="13"/>
      <name val="TH Sarabun New"/>
      <family val="0"/>
      <charset val="1"/>
    </font>
    <font>
      <i val="true"/>
      <sz val="11"/>
      <color rgb="FF6B7A72"/>
      <name val="TH Sarabun New"/>
      <family val="0"/>
      <charset val="1"/>
    </font>
    <font>
      <b val="true"/>
      <sz val="13"/>
      <name val="TH Sarabun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6E54"/>
        <bgColor rgb="FF008080"/>
      </patternFill>
    </fill>
    <fill>
      <patternFill patternType="solid">
        <fgColor rgb="FFFFF9E6"/>
        <bgColor rgb="FFFFFFFF"/>
      </patternFill>
    </fill>
    <fill>
      <patternFill patternType="solid">
        <fgColor rgb="FFFFF3C4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D3"/>
      </left>
      <right style="thin">
        <color rgb="FFD0D8D3"/>
      </right>
      <top style="thin">
        <color rgb="FFD0D8D3"/>
      </top>
      <bottom style="thin">
        <color rgb="FFD0D8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6E54"/>
      <rgbColor rgb="FFC0C0C0"/>
      <rgbColor rgb="FF6B7A72"/>
      <rgbColor rgb="FF9999FF"/>
      <rgbColor rgb="FF993366"/>
      <rgbColor rgb="FFFFF3C4"/>
      <rgbColor rgb="FFCCFFFF"/>
      <rgbColor rgb="FF660066"/>
      <rgbColor rgb="FFFF8080"/>
      <rgbColor rgb="FF0066CC"/>
      <rgbColor rgb="FFD0D8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3D2E"/>
      <rgbColor rgb="FF333300"/>
      <rgbColor rgb="FF993300"/>
      <rgbColor rgb="FF993366"/>
      <rgbColor rgb="FF333399"/>
      <rgbColor rgb="FF445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3" customFormat="false" ht="31.5" hidden="false" customHeight="true" outlineLevel="0" collapsed="false">
      <c r="A13" s="3" t="s">
        <v>9</v>
      </c>
      <c r="B13" s="3" t="s">
        <v>10</v>
      </c>
      <c r="C13" s="3" t="s">
        <v>11</v>
      </c>
      <c r="D13" s="3" t="s">
        <v>12</v>
      </c>
    </row>
    <row r="14" customFormat="false" ht="31.3" hidden="false" customHeight="false" outlineLevel="0" collapsed="false">
      <c r="A14" s="4" t="s">
        <v>13</v>
      </c>
      <c r="B14" s="4" t="s">
        <v>14</v>
      </c>
      <c r="C14" s="4" t="s">
        <v>15</v>
      </c>
      <c r="D14" s="4" t="s">
        <v>16</v>
      </c>
    </row>
    <row r="15" customFormat="false" ht="31.3" hidden="false" customHeight="false" outlineLevel="0" collapsed="false">
      <c r="A15" s="4" t="s">
        <v>17</v>
      </c>
      <c r="B15" s="4" t="s">
        <v>18</v>
      </c>
      <c r="C15" s="4" t="s">
        <v>19</v>
      </c>
      <c r="D15" s="4" t="s">
        <v>20</v>
      </c>
    </row>
    <row r="16" customFormat="false" ht="31.3" hidden="false" customHeight="false" outlineLevel="0" collapsed="false">
      <c r="A16" s="4" t="s">
        <v>21</v>
      </c>
      <c r="B16" s="4" t="s">
        <v>22</v>
      </c>
      <c r="C16" s="4" t="s">
        <v>23</v>
      </c>
      <c r="D16" s="4" t="s">
        <v>24</v>
      </c>
    </row>
    <row r="17" customFormat="false" ht="16.4" hidden="false" customHeight="false" outlineLevel="0" collapsed="false">
      <c r="A17" s="4" t="s">
        <v>25</v>
      </c>
      <c r="B17" s="4" t="s">
        <v>26</v>
      </c>
      <c r="C17" s="4" t="s">
        <v>27</v>
      </c>
      <c r="D17" s="4" t="s">
        <v>28</v>
      </c>
    </row>
    <row r="18" customFormat="false" ht="31.3" hidden="false" customHeight="false" outlineLevel="0" collapsed="false">
      <c r="A18" s="4" t="s">
        <v>29</v>
      </c>
      <c r="B18" s="4" t="s">
        <v>30</v>
      </c>
      <c r="C18" s="4" t="s">
        <v>31</v>
      </c>
      <c r="D18" s="4" t="s">
        <v>32</v>
      </c>
    </row>
    <row r="19" customFormat="false" ht="31.3" hidden="false" customHeight="false" outlineLevel="0" collapsed="false">
      <c r="A19" s="4" t="s">
        <v>33</v>
      </c>
      <c r="B19" s="4" t="s">
        <v>34</v>
      </c>
      <c r="C19" s="4" t="s">
        <v>35</v>
      </c>
      <c r="D19" s="4" t="s">
        <v>36</v>
      </c>
    </row>
    <row r="20" customFormat="false" ht="31.3" hidden="false" customHeight="false" outlineLevel="0" collapsed="false">
      <c r="A20" s="4" t="s">
        <v>37</v>
      </c>
      <c r="B20" s="4" t="s">
        <v>38</v>
      </c>
      <c r="C20" s="4" t="s">
        <v>39</v>
      </c>
      <c r="D20" s="4" t="s">
        <v>32</v>
      </c>
    </row>
    <row r="21" customFormat="false" ht="46.25" hidden="false" customHeight="false" outlineLevel="0" collapsed="false">
      <c r="A21" s="4" t="s">
        <v>40</v>
      </c>
      <c r="B21" s="4" t="s">
        <v>41</v>
      </c>
      <c r="C21" s="4" t="s">
        <v>42</v>
      </c>
      <c r="D21" s="4" t="s">
        <v>43</v>
      </c>
    </row>
    <row r="24" customFormat="false" ht="15" hidden="false" customHeight="false" outlineLevel="0" collapsed="false">
      <c r="A24" s="2" t="s">
        <v>44</v>
      </c>
    </row>
    <row r="25" customFormat="false" ht="15" hidden="false" customHeight="false" outlineLevel="0" collapsed="false">
      <c r="A25" s="5" t="s">
        <v>45</v>
      </c>
    </row>
    <row r="26" customFormat="false" ht="15" hidden="false" customHeight="false" outlineLevel="0" collapsed="false">
      <c r="A26" s="5" t="s">
        <v>46</v>
      </c>
    </row>
    <row r="27" customFormat="false" ht="15" hidden="false" customHeight="false" outlineLevel="0" collapsed="false">
      <c r="A27" s="5" t="s">
        <v>47</v>
      </c>
    </row>
    <row r="28" customFormat="false" ht="15" hidden="false" customHeight="false" outlineLevel="0" collapsed="false">
      <c r="A28" s="5" t="s">
        <v>48</v>
      </c>
    </row>
    <row r="29" customFormat="false" ht="15" hidden="false" customHeight="false" outlineLevel="0" collapsed="false">
      <c r="A29" s="5" t="s">
        <v>49</v>
      </c>
    </row>
    <row r="30" customFormat="false" ht="15" hidden="false" customHeight="false" outlineLevel="0" collapsed="false">
      <c r="A30" s="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52"/>
  </cols>
  <sheetData>
    <row r="1" customFormat="false" ht="19.4" hidden="false" customHeight="false" outlineLevel="0" collapsed="false">
      <c r="A1" s="1" t="s">
        <v>51</v>
      </c>
    </row>
    <row r="3" customFormat="false" ht="16.4" hidden="false" customHeight="false" outlineLevel="0" collapsed="false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</row>
    <row r="4" customFormat="false" ht="16.4" hidden="false" customHeight="false" outlineLevel="0" collapsed="false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</row>
    <row r="5" customFormat="false" ht="16.4" hidden="false" customHeight="false" outlineLevel="0" collapsed="false">
      <c r="A5" s="7" t="s">
        <v>62</v>
      </c>
      <c r="B5" s="7" t="s">
        <v>63</v>
      </c>
      <c r="C5" s="7" t="s">
        <v>64</v>
      </c>
      <c r="D5" s="7" t="s">
        <v>65</v>
      </c>
      <c r="E5" s="7" t="s">
        <v>66</v>
      </c>
    </row>
    <row r="6" customFormat="false" ht="16.4" hidden="false" customHeight="false" outlineLevel="0" collapsed="false">
      <c r="A6" s="7" t="s">
        <v>67</v>
      </c>
      <c r="B6" s="7" t="s">
        <v>68</v>
      </c>
      <c r="C6" s="7" t="s">
        <v>69</v>
      </c>
      <c r="D6" s="7" t="s">
        <v>70</v>
      </c>
      <c r="E6" s="7" t="s">
        <v>71</v>
      </c>
    </row>
    <row r="7" customFormat="false" ht="16.4" hidden="false" customHeight="false" outlineLevel="0" collapsed="false">
      <c r="A7" s="7" t="s">
        <v>72</v>
      </c>
      <c r="B7" s="7" t="s">
        <v>73</v>
      </c>
      <c r="C7" s="7" t="s">
        <v>74</v>
      </c>
      <c r="D7" s="7" t="s">
        <v>75</v>
      </c>
      <c r="E7" s="7" t="s">
        <v>76</v>
      </c>
    </row>
    <row r="8" customFormat="false" ht="16.4" hidden="false" customHeight="false" outlineLevel="0" collapsed="false">
      <c r="A8" s="7" t="s">
        <v>77</v>
      </c>
      <c r="B8" s="7" t="s">
        <v>78</v>
      </c>
      <c r="C8" s="7" t="s">
        <v>79</v>
      </c>
      <c r="D8" s="7" t="s">
        <v>80</v>
      </c>
      <c r="E8" s="7" t="s">
        <v>81</v>
      </c>
    </row>
    <row r="9" customFormat="false" ht="16.4" hidden="false" customHeight="false" outlineLevel="0" collapsed="false">
      <c r="A9" s="7" t="s">
        <v>82</v>
      </c>
      <c r="B9" s="7" t="s">
        <v>83</v>
      </c>
      <c r="C9" s="7" t="s">
        <v>84</v>
      </c>
      <c r="D9" s="7" t="s">
        <v>85</v>
      </c>
      <c r="E9" s="7" t="s">
        <v>86</v>
      </c>
    </row>
    <row r="10" customFormat="false" ht="16.4" hidden="false" customHeight="false" outlineLevel="0" collapsed="false">
      <c r="B10" s="7" t="s">
        <v>87</v>
      </c>
      <c r="C10" s="7" t="s">
        <v>88</v>
      </c>
      <c r="D10" s="7" t="s">
        <v>89</v>
      </c>
      <c r="E10" s="7" t="s">
        <v>90</v>
      </c>
    </row>
    <row r="11" customFormat="false" ht="16.4" hidden="false" customHeight="false" outlineLevel="0" collapsed="false">
      <c r="B11" s="7" t="s">
        <v>91</v>
      </c>
      <c r="C11" s="7" t="s">
        <v>92</v>
      </c>
      <c r="D11" s="7" t="s">
        <v>93</v>
      </c>
      <c r="E11" s="7" t="s">
        <v>94</v>
      </c>
    </row>
    <row r="12" customFormat="false" ht="16.4" hidden="false" customHeight="false" outlineLevel="0" collapsed="false">
      <c r="B12" s="7" t="s">
        <v>95</v>
      </c>
      <c r="C12" s="7" t="s">
        <v>96</v>
      </c>
      <c r="D12" s="7" t="s">
        <v>97</v>
      </c>
      <c r="E12" s="7" t="s">
        <v>98</v>
      </c>
    </row>
    <row r="13" customFormat="false" ht="16.4" hidden="false" customHeight="false" outlineLevel="0" collapsed="false">
      <c r="B13" s="7" t="s">
        <v>99</v>
      </c>
      <c r="C13" s="7" t="s">
        <v>100</v>
      </c>
      <c r="D13" s="7" t="s">
        <v>101</v>
      </c>
      <c r="E13" s="7" t="s">
        <v>102</v>
      </c>
    </row>
    <row r="14" customFormat="false" ht="16.4" hidden="false" customHeight="false" outlineLevel="0" collapsed="false">
      <c r="B14" s="7" t="s">
        <v>103</v>
      </c>
      <c r="C14" s="7" t="s">
        <v>104</v>
      </c>
      <c r="D14" s="7" t="s">
        <v>98</v>
      </c>
      <c r="E14" s="7" t="s">
        <v>75</v>
      </c>
    </row>
    <row r="15" customFormat="false" ht="16.4" hidden="false" customHeight="false" outlineLevel="0" collapsed="false">
      <c r="B15" s="7" t="s">
        <v>105</v>
      </c>
      <c r="C15" s="7" t="s">
        <v>106</v>
      </c>
      <c r="D15" s="7" t="s">
        <v>90</v>
      </c>
      <c r="E15" s="7" t="s">
        <v>107</v>
      </c>
    </row>
    <row r="16" customFormat="false" ht="16.4" hidden="false" customHeight="false" outlineLevel="0" collapsed="false">
      <c r="D16" s="7" t="s">
        <v>108</v>
      </c>
      <c r="E16" s="7" t="s">
        <v>109</v>
      </c>
    </row>
    <row r="17" customFormat="false" ht="16.15" hidden="false" customHeight="false" outlineLevel="0" collapsed="false">
      <c r="D17" s="7" t="s">
        <v>110</v>
      </c>
      <c r="E17" s="7" t="s">
        <v>111</v>
      </c>
    </row>
    <row r="18" customFormat="false" ht="16.15" hidden="false" customHeight="false" outlineLevel="0" collapsed="false">
      <c r="D18" s="7" t="s">
        <v>94</v>
      </c>
      <c r="E18" s="7" t="s">
        <v>112</v>
      </c>
    </row>
    <row r="19" customFormat="false" ht="16.15" hidden="false" customHeight="false" outlineLevel="0" collapsed="false">
      <c r="D19" s="7" t="s">
        <v>113</v>
      </c>
      <c r="E19" s="7" t="s">
        <v>114</v>
      </c>
    </row>
    <row r="20" customFormat="false" ht="16.4" hidden="false" customHeight="false" outlineLevel="0" collapsed="false">
      <c r="D20" s="7" t="s">
        <v>115</v>
      </c>
      <c r="E20" s="7" t="s">
        <v>101</v>
      </c>
    </row>
    <row r="21" customFormat="false" ht="16.4" hidden="false" customHeight="false" outlineLevel="0" collapsed="false">
      <c r="D21" s="7" t="s">
        <v>116</v>
      </c>
      <c r="E21" s="7" t="s">
        <v>117</v>
      </c>
    </row>
    <row r="22" customFormat="false" ht="16.15" hidden="false" customHeight="false" outlineLevel="0" collapsed="false">
      <c r="D22" s="7" t="s">
        <v>118</v>
      </c>
      <c r="E22" s="7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2" t="s">
        <v>120</v>
      </c>
    </row>
    <row r="3" customFormat="false" ht="31.5" hidden="false" customHeight="true" outlineLevel="0" collapsed="false">
      <c r="A3" s="3" t="s">
        <v>121</v>
      </c>
      <c r="B3" s="3" t="s">
        <v>53</v>
      </c>
      <c r="C3" s="3" t="s">
        <v>122</v>
      </c>
      <c r="D3" s="3" t="s">
        <v>123</v>
      </c>
      <c r="E3" s="3" t="s">
        <v>124</v>
      </c>
      <c r="F3" s="3" t="s">
        <v>125</v>
      </c>
    </row>
    <row r="4" customFormat="false" ht="16.4" hidden="false" customHeight="false" outlineLevel="0" collapsed="false">
      <c r="A4" s="8" t="n">
        <v>2566</v>
      </c>
      <c r="B4" s="9" t="s">
        <v>126</v>
      </c>
      <c r="C4" s="10" t="n">
        <v>6692489.99</v>
      </c>
      <c r="D4" s="10" t="n">
        <v>6094106.77</v>
      </c>
      <c r="E4" s="10" t="n">
        <f aca="false">C4-D4</f>
        <v>598383.220000001</v>
      </c>
      <c r="F4" s="9"/>
    </row>
    <row r="5" customFormat="false" ht="16.4" hidden="false" customHeight="false" outlineLevel="0" collapsed="false">
      <c r="A5" s="8" t="n">
        <v>2566</v>
      </c>
      <c r="B5" s="9" t="s">
        <v>127</v>
      </c>
      <c r="C5" s="10" t="n">
        <v>36525373.56</v>
      </c>
      <c r="D5" s="10" t="n">
        <v>4819207.97</v>
      </c>
      <c r="E5" s="10" t="n">
        <f aca="false">C5-D5</f>
        <v>31706165.59</v>
      </c>
      <c r="F5" s="9"/>
    </row>
    <row r="6" customFormat="false" ht="16.4" hidden="false" customHeight="false" outlineLevel="0" collapsed="false">
      <c r="A6" s="8" t="n">
        <v>2566</v>
      </c>
      <c r="B6" s="9" t="s">
        <v>128</v>
      </c>
      <c r="C6" s="10" t="n">
        <v>28695502.72</v>
      </c>
      <c r="D6" s="10" t="n">
        <v>14382181.94</v>
      </c>
      <c r="E6" s="10" t="n">
        <f aca="false">C6-D6</f>
        <v>14313320.78</v>
      </c>
      <c r="F6" s="9"/>
    </row>
    <row r="7" customFormat="false" ht="16.4" hidden="false" customHeight="false" outlineLevel="0" collapsed="false">
      <c r="A7" s="8" t="n">
        <v>2566</v>
      </c>
      <c r="B7" s="9" t="s">
        <v>129</v>
      </c>
      <c r="C7" s="10" t="n">
        <v>24382131.44</v>
      </c>
      <c r="D7" s="10" t="n">
        <v>13662363.76</v>
      </c>
      <c r="E7" s="10" t="n">
        <f aca="false">C7-D7</f>
        <v>10719767.68</v>
      </c>
      <c r="F7" s="9"/>
    </row>
    <row r="8" customFormat="false" ht="16.4" hidden="false" customHeight="false" outlineLevel="0" collapsed="false">
      <c r="A8" s="8" t="n">
        <v>2566</v>
      </c>
      <c r="B8" s="9" t="s">
        <v>130</v>
      </c>
      <c r="C8" s="10" t="n">
        <v>5441717.54</v>
      </c>
      <c r="D8" s="10" t="n">
        <v>8332692.95</v>
      </c>
      <c r="E8" s="10" t="n">
        <f aca="false">C8-D8</f>
        <v>-2890975.41</v>
      </c>
      <c r="F8" s="9"/>
    </row>
    <row r="9" customFormat="false" ht="31.3" hidden="false" customHeight="false" outlineLevel="0" collapsed="false">
      <c r="A9" s="8" t="n">
        <v>2566</v>
      </c>
      <c r="B9" s="9" t="s">
        <v>131</v>
      </c>
      <c r="C9" s="10" t="n">
        <v>6718780.48</v>
      </c>
      <c r="D9" s="10" t="n">
        <v>9930603.89</v>
      </c>
      <c r="E9" s="10" t="n">
        <f aca="false">C9-D9</f>
        <v>-3211823.41</v>
      </c>
      <c r="F9" s="9"/>
    </row>
    <row r="10" customFormat="false" ht="31.3" hidden="false" customHeight="false" outlineLevel="0" collapsed="false">
      <c r="A10" s="8" t="n">
        <v>2566</v>
      </c>
      <c r="B10" s="9" t="s">
        <v>132</v>
      </c>
      <c r="C10" s="10" t="n">
        <v>1804620.89</v>
      </c>
      <c r="D10" s="10" t="n">
        <v>6117238.05</v>
      </c>
      <c r="E10" s="10" t="n">
        <f aca="false">C10-D10</f>
        <v>-4312617.16</v>
      </c>
      <c r="F10" s="9"/>
    </row>
    <row r="11" customFormat="false" ht="16.4" hidden="false" customHeight="false" outlineLevel="0" collapsed="false">
      <c r="A11" s="8" t="n">
        <v>2566</v>
      </c>
      <c r="B11" s="9" t="s">
        <v>133</v>
      </c>
      <c r="C11" s="10" t="n">
        <v>1762688.26</v>
      </c>
      <c r="D11" s="10" t="n">
        <v>9616511.09</v>
      </c>
      <c r="E11" s="10" t="n">
        <f aca="false">C11-D11</f>
        <v>-7853822.83</v>
      </c>
      <c r="F11" s="9"/>
    </row>
    <row r="12" customFormat="false" ht="31.3" hidden="false" customHeight="false" outlineLevel="0" collapsed="false">
      <c r="A12" s="8" t="n">
        <v>2566</v>
      </c>
      <c r="B12" s="9" t="s">
        <v>134</v>
      </c>
      <c r="C12" s="10" t="n">
        <v>5638984.26</v>
      </c>
      <c r="D12" s="10" t="n">
        <v>11692511.09</v>
      </c>
      <c r="E12" s="10" t="n">
        <f aca="false">C12-D12</f>
        <v>-6053526.83</v>
      </c>
      <c r="F12" s="9"/>
    </row>
    <row r="13" customFormat="false" ht="16.4" hidden="false" customHeight="false" outlineLevel="0" collapsed="false">
      <c r="A13" s="8" t="n">
        <v>2566</v>
      </c>
      <c r="B13" s="9" t="s">
        <v>135</v>
      </c>
      <c r="C13" s="10" t="n">
        <v>2479892.01</v>
      </c>
      <c r="D13" s="10" t="n">
        <v>8643339.03</v>
      </c>
      <c r="E13" s="10" t="n">
        <f aca="false">C13-D13</f>
        <v>-6163447.02</v>
      </c>
      <c r="F13" s="9"/>
    </row>
    <row r="14" customFormat="false" ht="16.4" hidden="false" customHeight="false" outlineLevel="0" collapsed="false">
      <c r="A14" s="8" t="n">
        <v>2566</v>
      </c>
      <c r="B14" s="9" t="s">
        <v>136</v>
      </c>
      <c r="C14" s="10" t="n">
        <v>3155388.11</v>
      </c>
      <c r="D14" s="10" t="n">
        <v>6342974.71</v>
      </c>
      <c r="E14" s="10" t="n">
        <f aca="false">C14-D14</f>
        <v>-3187586.6</v>
      </c>
      <c r="F14" s="9"/>
    </row>
    <row r="15" customFormat="false" ht="16.4" hidden="false" customHeight="false" outlineLevel="0" collapsed="false">
      <c r="A15" s="8" t="n">
        <v>2566</v>
      </c>
      <c r="B15" s="9" t="s">
        <v>137</v>
      </c>
      <c r="C15" s="10" t="n">
        <v>4672550.6</v>
      </c>
      <c r="D15" s="10" t="n">
        <v>16228965.42</v>
      </c>
      <c r="E15" s="10" t="n">
        <f aca="false">C15-D15</f>
        <v>-11556414.82</v>
      </c>
      <c r="F15" s="9"/>
    </row>
    <row r="16" customFormat="false" ht="16.4" hidden="false" customHeight="false" outlineLevel="0" collapsed="false">
      <c r="A16" s="8" t="n">
        <v>2567</v>
      </c>
      <c r="B16" s="9" t="s">
        <v>138</v>
      </c>
      <c r="C16" s="10" t="n">
        <v>14251305.59</v>
      </c>
      <c r="D16" s="10" t="n">
        <v>9597964.07</v>
      </c>
      <c r="E16" s="10" t="n">
        <f aca="false">C16-D16</f>
        <v>4653341.52</v>
      </c>
      <c r="F16" s="9"/>
    </row>
    <row r="17" customFormat="false" ht="16.4" hidden="false" customHeight="false" outlineLevel="0" collapsed="false">
      <c r="A17" s="8" t="n">
        <v>2567</v>
      </c>
      <c r="B17" s="9" t="s">
        <v>139</v>
      </c>
      <c r="C17" s="10" t="n">
        <v>9715244.84</v>
      </c>
      <c r="D17" s="10" t="n">
        <v>8065125.71</v>
      </c>
      <c r="E17" s="10" t="n">
        <f aca="false">C17-D17</f>
        <v>1650119.13</v>
      </c>
      <c r="F17" s="9"/>
    </row>
    <row r="18" customFormat="false" ht="16.4" hidden="false" customHeight="false" outlineLevel="0" collapsed="false">
      <c r="A18" s="8" t="n">
        <v>2567</v>
      </c>
      <c r="B18" s="9" t="s">
        <v>140</v>
      </c>
      <c r="C18" s="10" t="n">
        <v>14232983.14</v>
      </c>
      <c r="D18" s="10" t="n">
        <v>12745145.96</v>
      </c>
      <c r="E18" s="10" t="n">
        <f aca="false">C18-D18</f>
        <v>1487837.18</v>
      </c>
      <c r="F18" s="9"/>
    </row>
    <row r="19" customFormat="false" ht="16.4" hidden="false" customHeight="false" outlineLevel="0" collapsed="false">
      <c r="A19" s="8" t="n">
        <v>2567</v>
      </c>
      <c r="B19" s="9" t="s">
        <v>141</v>
      </c>
      <c r="C19" s="10" t="n">
        <v>3790452.04</v>
      </c>
      <c r="D19" s="10" t="n">
        <v>6003929.87</v>
      </c>
      <c r="E19" s="10" t="n">
        <f aca="false">C19-D19</f>
        <v>-2213477.83</v>
      </c>
      <c r="F19" s="9"/>
    </row>
    <row r="20" customFormat="false" ht="16.4" hidden="false" customHeight="false" outlineLevel="0" collapsed="false">
      <c r="A20" s="8" t="n">
        <v>2567</v>
      </c>
      <c r="B20" s="9" t="s">
        <v>142</v>
      </c>
      <c r="C20" s="10" t="n">
        <v>3546920.47</v>
      </c>
      <c r="D20" s="10" t="n">
        <v>7411321.12</v>
      </c>
      <c r="E20" s="10" t="n">
        <f aca="false">C20-D20</f>
        <v>-3864400.65</v>
      </c>
      <c r="F20" s="9"/>
    </row>
    <row r="21" customFormat="false" ht="31.3" hidden="false" customHeight="false" outlineLevel="0" collapsed="false">
      <c r="A21" s="8" t="n">
        <v>2567</v>
      </c>
      <c r="B21" s="9" t="s">
        <v>143</v>
      </c>
      <c r="C21" s="10" t="n">
        <v>9186388.38</v>
      </c>
      <c r="D21" s="10" t="n">
        <v>7524367.97</v>
      </c>
      <c r="E21" s="10" t="n">
        <f aca="false">C21-D21</f>
        <v>1662020.41</v>
      </c>
      <c r="F21" s="9"/>
    </row>
    <row r="22" customFormat="false" ht="31.3" hidden="false" customHeight="false" outlineLevel="0" collapsed="false">
      <c r="A22" s="8" t="n">
        <v>2567</v>
      </c>
      <c r="B22" s="9" t="s">
        <v>144</v>
      </c>
      <c r="C22" s="10" t="n">
        <v>2457343.88</v>
      </c>
      <c r="D22" s="10" t="n">
        <v>5893530.68</v>
      </c>
      <c r="E22" s="10" t="n">
        <f aca="false">C22-D22</f>
        <v>-3436186.8</v>
      </c>
      <c r="F22" s="9"/>
    </row>
    <row r="23" customFormat="false" ht="16.4" hidden="false" customHeight="false" outlineLevel="0" collapsed="false">
      <c r="A23" s="8" t="n">
        <v>2567</v>
      </c>
      <c r="B23" s="9" t="s">
        <v>145</v>
      </c>
      <c r="C23" s="10" t="n">
        <v>1856275.81</v>
      </c>
      <c r="D23" s="10" t="n">
        <v>7167321.25</v>
      </c>
      <c r="E23" s="10" t="n">
        <f aca="false">C23-D23</f>
        <v>-5311045.44</v>
      </c>
      <c r="F23" s="9"/>
    </row>
    <row r="24" customFormat="false" ht="31.3" hidden="false" customHeight="false" outlineLevel="0" collapsed="false">
      <c r="A24" s="8" t="n">
        <v>2567</v>
      </c>
      <c r="B24" s="9" t="s">
        <v>146</v>
      </c>
      <c r="C24" s="10" t="n">
        <v>5164177.54</v>
      </c>
      <c r="D24" s="10" t="n">
        <v>7978111.74</v>
      </c>
      <c r="E24" s="10" t="n">
        <f aca="false">C24-D24</f>
        <v>-2813934.2</v>
      </c>
      <c r="F24" s="9"/>
    </row>
    <row r="25" customFormat="false" ht="16.4" hidden="false" customHeight="false" outlineLevel="0" collapsed="false">
      <c r="A25" s="8" t="n">
        <v>2567</v>
      </c>
      <c r="B25" s="9" t="s">
        <v>147</v>
      </c>
      <c r="C25" s="10" t="n">
        <v>21116529.88</v>
      </c>
      <c r="D25" s="10" t="n">
        <v>7145485.41</v>
      </c>
      <c r="E25" s="10" t="n">
        <f aca="false">C25-D25</f>
        <v>13971044.47</v>
      </c>
      <c r="F25" s="9"/>
    </row>
    <row r="26" customFormat="false" ht="16.4" hidden="false" customHeight="false" outlineLevel="0" collapsed="false">
      <c r="A26" s="8" t="n">
        <v>2567</v>
      </c>
      <c r="B26" s="9" t="s">
        <v>148</v>
      </c>
      <c r="C26" s="10" t="n">
        <v>1865720.42</v>
      </c>
      <c r="D26" s="10" t="n">
        <v>9798292.12</v>
      </c>
      <c r="E26" s="10" t="n">
        <f aca="false">C26-D26</f>
        <v>-7932571.7</v>
      </c>
      <c r="F26" s="9"/>
    </row>
    <row r="27" customFormat="false" ht="16.4" hidden="false" customHeight="false" outlineLevel="0" collapsed="false">
      <c r="A27" s="8" t="n">
        <v>2567</v>
      </c>
      <c r="B27" s="9" t="s">
        <v>149</v>
      </c>
      <c r="C27" s="10" t="n">
        <v>4110080.28</v>
      </c>
      <c r="D27" s="10" t="n">
        <v>8585111.77</v>
      </c>
      <c r="E27" s="10" t="n">
        <f aca="false">C27-D27</f>
        <v>-4475031.49</v>
      </c>
      <c r="F27" s="9"/>
    </row>
    <row r="28" customFormat="false" ht="16.4" hidden="false" customHeight="false" outlineLevel="0" collapsed="false">
      <c r="A28" s="8" t="n">
        <v>2568</v>
      </c>
      <c r="B28" s="9" t="s">
        <v>150</v>
      </c>
      <c r="C28" s="10" t="n">
        <v>6892487.97</v>
      </c>
      <c r="D28" s="10" t="n">
        <v>8927333.08</v>
      </c>
      <c r="E28" s="10" t="n">
        <f aca="false">C28-D28</f>
        <v>-2034845.11</v>
      </c>
      <c r="F28" s="9"/>
    </row>
    <row r="29" customFormat="false" ht="16.4" hidden="false" customHeight="false" outlineLevel="0" collapsed="false">
      <c r="A29" s="8" t="n">
        <v>2568</v>
      </c>
      <c r="B29" s="9" t="s">
        <v>151</v>
      </c>
      <c r="C29" s="10" t="n">
        <v>10490326.22</v>
      </c>
      <c r="D29" s="10" t="n">
        <v>7197675.86</v>
      </c>
      <c r="E29" s="10" t="n">
        <f aca="false">C29-D29</f>
        <v>3292650.36</v>
      </c>
      <c r="F29" s="9"/>
    </row>
    <row r="30" customFormat="false" ht="16.4" hidden="false" customHeight="false" outlineLevel="0" collapsed="false">
      <c r="A30" s="8" t="n">
        <v>2568</v>
      </c>
      <c r="B30" s="9" t="s">
        <v>152</v>
      </c>
      <c r="C30" s="10" t="n">
        <v>19620442.44</v>
      </c>
      <c r="D30" s="10" t="n">
        <v>9452150.94</v>
      </c>
      <c r="E30" s="10" t="n">
        <f aca="false">C30-D30</f>
        <v>10168291.5</v>
      </c>
      <c r="F30" s="9"/>
    </row>
    <row r="31" customFormat="false" ht="16.4" hidden="false" customHeight="false" outlineLevel="0" collapsed="false">
      <c r="A31" s="8" t="n">
        <v>2568</v>
      </c>
      <c r="B31" s="9" t="s">
        <v>153</v>
      </c>
      <c r="C31" s="10" t="n">
        <v>5430756.26</v>
      </c>
      <c r="D31" s="10" t="n">
        <v>6892490.35</v>
      </c>
      <c r="E31" s="10" t="n">
        <f aca="false">C31-D31</f>
        <v>-1461734.09</v>
      </c>
      <c r="F31" s="9"/>
    </row>
    <row r="32" customFormat="false" ht="16.4" hidden="false" customHeight="false" outlineLevel="0" collapsed="false">
      <c r="A32" s="8" t="n">
        <v>2568</v>
      </c>
      <c r="B32" s="9" t="s">
        <v>154</v>
      </c>
      <c r="C32" s="10" t="n">
        <v>16979571.02</v>
      </c>
      <c r="D32" s="10" t="n">
        <v>8450692.74</v>
      </c>
      <c r="E32" s="10" t="n">
        <f aca="false">C32-D32</f>
        <v>8528878.28</v>
      </c>
      <c r="F32" s="9"/>
    </row>
    <row r="33" customFormat="false" ht="31.3" hidden="false" customHeight="false" outlineLevel="0" collapsed="false">
      <c r="A33" s="8" t="n">
        <v>2568</v>
      </c>
      <c r="B33" s="9" t="s">
        <v>155</v>
      </c>
      <c r="C33" s="10" t="n">
        <v>2994993.14</v>
      </c>
      <c r="D33" s="10" t="n">
        <v>6123700.7</v>
      </c>
      <c r="E33" s="10" t="n">
        <f aca="false">C33-D33</f>
        <v>-3128707.56</v>
      </c>
      <c r="F33" s="9"/>
    </row>
    <row r="34" customFormat="false" ht="31.3" hidden="false" customHeight="false" outlineLevel="0" collapsed="false">
      <c r="A34" s="8" t="n">
        <v>2568</v>
      </c>
      <c r="B34" s="9" t="s">
        <v>156</v>
      </c>
      <c r="C34" s="10" t="n">
        <v>6711672.4</v>
      </c>
      <c r="D34" s="10" t="n">
        <v>6629573.48</v>
      </c>
      <c r="E34" s="10" t="n">
        <f aca="false">C34-D34</f>
        <v>82098.9199999999</v>
      </c>
      <c r="F34" s="9"/>
    </row>
    <row r="35" customFormat="false" ht="16.4" hidden="false" customHeight="false" outlineLevel="0" collapsed="false">
      <c r="A35" s="8" t="n">
        <v>2568</v>
      </c>
      <c r="B35" s="9" t="s">
        <v>157</v>
      </c>
      <c r="C35" s="10" t="n">
        <v>7388622.62</v>
      </c>
      <c r="D35" s="10" t="n">
        <v>8994150.83</v>
      </c>
      <c r="E35" s="10" t="n">
        <f aca="false">C35-D35</f>
        <v>-1605528.21</v>
      </c>
      <c r="F35" s="9"/>
    </row>
    <row r="36" customFormat="false" ht="31.3" hidden="false" customHeight="false" outlineLevel="0" collapsed="false">
      <c r="A36" s="8" t="n">
        <v>2568</v>
      </c>
      <c r="B36" s="9" t="s">
        <v>158</v>
      </c>
      <c r="C36" s="10" t="n">
        <v>3439481.12</v>
      </c>
      <c r="D36" s="10" t="n">
        <v>8372480.89</v>
      </c>
      <c r="E36" s="10" t="n">
        <f aca="false">C36-D36</f>
        <v>-4932999.77</v>
      </c>
      <c r="F36" s="9"/>
    </row>
    <row r="37" customFormat="false" ht="16.4" hidden="false" customHeight="false" outlineLevel="0" collapsed="false">
      <c r="A37" s="8" t="n">
        <v>2568</v>
      </c>
      <c r="B37" s="9" t="s">
        <v>159</v>
      </c>
      <c r="C37" s="10" t="n">
        <v>2047974.5</v>
      </c>
      <c r="D37" s="10" t="n">
        <v>8489012.24</v>
      </c>
      <c r="E37" s="10" t="n">
        <f aca="false">C37-D37</f>
        <v>-6441037.74</v>
      </c>
      <c r="F37" s="9"/>
    </row>
    <row r="38" customFormat="false" ht="16.4" hidden="false" customHeight="false" outlineLevel="0" collapsed="false">
      <c r="A38" s="8" t="n">
        <v>2568</v>
      </c>
      <c r="B38" s="9" t="s">
        <v>160</v>
      </c>
      <c r="C38" s="10" t="n">
        <v>3297984.85</v>
      </c>
      <c r="D38" s="10" t="n">
        <v>7067491.23</v>
      </c>
      <c r="E38" s="10" t="n">
        <f aca="false">C38-D38</f>
        <v>-3769506.38</v>
      </c>
      <c r="F38" s="9"/>
    </row>
    <row r="39" customFormat="false" ht="16.4" hidden="false" customHeight="false" outlineLevel="0" collapsed="false">
      <c r="A39" s="8" t="n">
        <v>2568</v>
      </c>
      <c r="B39" s="9" t="s">
        <v>161</v>
      </c>
      <c r="C39" s="10" t="n">
        <v>1802701.75</v>
      </c>
      <c r="D39" s="10" t="n">
        <v>7041344.52</v>
      </c>
      <c r="E39" s="10" t="n">
        <f aca="false">C39-D39</f>
        <v>-5238642.77</v>
      </c>
      <c r="F39" s="9"/>
    </row>
    <row r="40" customFormat="false" ht="16.4" hidden="false" customHeight="false" outlineLevel="0" collapsed="false">
      <c r="A40" s="8" t="n">
        <v>2569</v>
      </c>
      <c r="B40" s="9" t="s">
        <v>162</v>
      </c>
      <c r="C40" s="10" t="n">
        <v>29102799.89</v>
      </c>
      <c r="D40" s="10" t="n">
        <v>13422176.33</v>
      </c>
      <c r="E40" s="10" t="n">
        <f aca="false">C40-D40</f>
        <v>15680623.56</v>
      </c>
      <c r="F40" s="9"/>
    </row>
    <row r="41" customFormat="false" ht="16.4" hidden="false" customHeight="false" outlineLevel="0" collapsed="false">
      <c r="A41" s="8" t="n">
        <v>2569</v>
      </c>
      <c r="B41" s="9" t="s">
        <v>163</v>
      </c>
      <c r="C41" s="10" t="n">
        <v>2508889.86</v>
      </c>
      <c r="D41" s="10" t="n">
        <v>9504813.25</v>
      </c>
      <c r="E41" s="10" t="n">
        <f aca="false">C41-D41</f>
        <v>-6995923.39</v>
      </c>
      <c r="F41" s="9"/>
    </row>
    <row r="42" customFormat="false" ht="16.4" hidden="false" customHeight="false" outlineLevel="0" collapsed="false">
      <c r="A42" s="8" t="n">
        <v>2569</v>
      </c>
      <c r="B42" s="9" t="s">
        <v>164</v>
      </c>
      <c r="C42" s="10" t="n">
        <v>3260786.01</v>
      </c>
      <c r="D42" s="10" t="n">
        <v>6425703.03</v>
      </c>
      <c r="E42" s="10" t="n">
        <f aca="false">C42-D42</f>
        <v>-3164917.02</v>
      </c>
      <c r="F42" s="9"/>
    </row>
    <row r="43" customFormat="false" ht="16.4" hidden="false" customHeight="false" outlineLevel="0" collapsed="false">
      <c r="A43" s="8" t="n">
        <v>2569</v>
      </c>
      <c r="B43" s="9" t="s">
        <v>165</v>
      </c>
      <c r="C43" s="10" t="n">
        <v>2982101.37</v>
      </c>
      <c r="D43" s="10" t="n">
        <v>9299259.67</v>
      </c>
      <c r="E43" s="10" t="n">
        <f aca="false">C43-D43</f>
        <v>-6317158.3</v>
      </c>
      <c r="F43" s="9"/>
    </row>
    <row r="44" customFormat="false" ht="16.4" hidden="false" customHeight="false" outlineLevel="0" collapsed="false">
      <c r="A44" s="8" t="n">
        <v>2569</v>
      </c>
      <c r="B44" s="9" t="s">
        <v>166</v>
      </c>
      <c r="C44" s="10" t="n">
        <v>11855692.91</v>
      </c>
      <c r="D44" s="10" t="n">
        <v>5007238.09</v>
      </c>
      <c r="E44" s="10" t="n">
        <f aca="false">C44-D44</f>
        <v>6848454.82</v>
      </c>
      <c r="F44" s="9"/>
    </row>
    <row r="45" customFormat="false" ht="31.3" hidden="false" customHeight="false" outlineLevel="0" collapsed="false">
      <c r="A45" s="8" t="n">
        <v>2569</v>
      </c>
      <c r="B45" s="9" t="s">
        <v>167</v>
      </c>
      <c r="C45" s="10" t="n">
        <v>18134667.04</v>
      </c>
      <c r="D45" s="10" t="n">
        <v>12902840.73</v>
      </c>
      <c r="E45" s="10" t="n">
        <f aca="false">C45-D45</f>
        <v>5231826.31</v>
      </c>
      <c r="F45" s="9"/>
    </row>
    <row r="46" customFormat="false" ht="31.3" hidden="false" customHeight="false" outlineLevel="0" collapsed="false">
      <c r="A46" s="8" t="n">
        <v>2569</v>
      </c>
      <c r="B46" s="9" t="s">
        <v>168</v>
      </c>
      <c r="C46" s="10" t="n">
        <v>3330495.3</v>
      </c>
      <c r="D46" s="10" t="n">
        <v>5684009.98</v>
      </c>
      <c r="E46" s="10" t="n">
        <f aca="false">C46-D46</f>
        <v>-2353514.68</v>
      </c>
      <c r="F46" s="9"/>
    </row>
    <row r="47" customFormat="false" ht="16.4" hidden="false" customHeight="false" outlineLevel="0" collapsed="false">
      <c r="A47" s="8" t="n">
        <v>2569</v>
      </c>
      <c r="B47" s="9" t="s">
        <v>169</v>
      </c>
      <c r="C47" s="10" t="n">
        <v>2313888.39</v>
      </c>
      <c r="D47" s="10" t="n">
        <v>9565856.06</v>
      </c>
      <c r="E47" s="10" t="n">
        <f aca="false">C47-D47</f>
        <v>-7251967.67</v>
      </c>
      <c r="F47" s="9"/>
    </row>
    <row r="48" customFormat="false" ht="31.3" hidden="false" customHeight="false" outlineLevel="0" collapsed="false">
      <c r="A48" s="8" t="n">
        <v>2569</v>
      </c>
      <c r="B48" s="9" t="s">
        <v>170</v>
      </c>
      <c r="C48" s="10" t="n">
        <v>6640109.27</v>
      </c>
      <c r="D48" s="10" t="n">
        <v>9614594.22</v>
      </c>
      <c r="E48" s="10" t="n">
        <f aca="false">C48-D48</f>
        <v>-2974484.95</v>
      </c>
      <c r="F48" s="9"/>
    </row>
    <row r="51" customFormat="false" ht="15" hidden="false" customHeight="false" outlineLevel="0" collapsed="false">
      <c r="A51" s="2" t="s">
        <v>171</v>
      </c>
    </row>
    <row r="52" customFormat="false" ht="31.5" hidden="false" customHeight="true" outlineLevel="0" collapsed="false">
      <c r="A52" s="3" t="s">
        <v>121</v>
      </c>
      <c r="B52" s="3" t="s">
        <v>172</v>
      </c>
      <c r="C52" s="3" t="s">
        <v>173</v>
      </c>
      <c r="D52" s="3" t="s">
        <v>174</v>
      </c>
    </row>
    <row r="53" customFormat="false" ht="16.15" hidden="false" customHeight="false" outlineLevel="0" collapsed="false">
      <c r="A53" s="11" t="s">
        <v>57</v>
      </c>
      <c r="B53" s="12" t="n">
        <f aca="false">SUMIF($A$4:$A$48,A53,$C$4:$C$48)</f>
        <v>127970119.86</v>
      </c>
      <c r="C53" s="12" t="n">
        <f aca="false">SUMIF($A$4:$A$48,A53,$D$4:$D$48)</f>
        <v>115862696.67</v>
      </c>
      <c r="D53" s="12" t="n">
        <f aca="false">B53-C53</f>
        <v>12107423.19</v>
      </c>
    </row>
    <row r="54" customFormat="false" ht="16.15" hidden="false" customHeight="false" outlineLevel="0" collapsed="false">
      <c r="A54" s="11" t="s">
        <v>62</v>
      </c>
      <c r="B54" s="12" t="n">
        <f aca="false">SUMIF($A$4:$A$48,A54,$C$4:$C$48)</f>
        <v>91293422.27</v>
      </c>
      <c r="C54" s="12" t="n">
        <f aca="false">SUMIF($A$4:$A$48,A54,$D$4:$D$48)</f>
        <v>97915707.67</v>
      </c>
      <c r="D54" s="12" t="n">
        <f aca="false">B54-C54</f>
        <v>-6622285.40000001</v>
      </c>
    </row>
    <row r="55" customFormat="false" ht="16.15" hidden="false" customHeight="false" outlineLevel="0" collapsed="false">
      <c r="A55" s="11" t="s">
        <v>67</v>
      </c>
      <c r="B55" s="12" t="n">
        <f aca="false">SUMIF($A$4:$A$48,A55,$C$4:$C$48)</f>
        <v>87097014.29</v>
      </c>
      <c r="C55" s="12" t="n">
        <f aca="false">SUMIF($A$4:$A$48,A55,$D$4:$D$48)</f>
        <v>93638096.86</v>
      </c>
      <c r="D55" s="12" t="n">
        <f aca="false">B55-C55</f>
        <v>-6541082.56999999</v>
      </c>
    </row>
    <row r="56" customFormat="false" ht="16.15" hidden="false" customHeight="false" outlineLevel="0" collapsed="false">
      <c r="A56" s="11" t="s">
        <v>72</v>
      </c>
      <c r="B56" s="12" t="n">
        <f aca="false">SUMIF($A$4:$A$48,A56,$C$4:$C$48)</f>
        <v>80129430.04</v>
      </c>
      <c r="C56" s="12" t="n">
        <f aca="false">SUMIF($A$4:$A$48,A56,$D$4:$D$48)</f>
        <v>81426491.36</v>
      </c>
      <c r="D56" s="12" t="n">
        <f aca="false">B56-C56</f>
        <v>-1297061.32000001</v>
      </c>
    </row>
    <row r="58" customFormat="false" ht="15" hidden="false" customHeight="false" outlineLevel="0" collapsed="false">
      <c r="A58" s="5" t="s">
        <v>175</v>
      </c>
    </row>
  </sheetData>
  <dataValidations count="2">
    <dataValidation allowBlank="true" errorStyle="stop" operator="between" showDropDown="false" showErrorMessage="false" showInputMessage="false" sqref="A4:A204" type="list">
      <formula1>'0_รายการมาตรฐาน'!$A$4:$A$9</formula1>
      <formula2>0</formula2>
    </dataValidation>
    <dataValidation allowBlank="true" errorStyle="stop" operator="between" showDropDown="false" showErrorMessage="false" showInputMessage="false" sqref="B4:B204" type="list">
      <formula1>'0_รายการมาตรฐาน'!$B$4:$B$15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2" t="s">
        <v>176</v>
      </c>
    </row>
    <row r="3" customFormat="false" ht="31.5" hidden="false" customHeight="true" outlineLevel="0" collapsed="false">
      <c r="A3" s="3" t="s">
        <v>53</v>
      </c>
      <c r="B3" s="3" t="s">
        <v>177</v>
      </c>
      <c r="C3" s="3" t="s">
        <v>178</v>
      </c>
      <c r="D3" s="3" t="s">
        <v>125</v>
      </c>
    </row>
    <row r="4" customFormat="false" ht="16.4" hidden="false" customHeight="false" outlineLevel="0" collapsed="false">
      <c r="A4" s="9" t="s">
        <v>162</v>
      </c>
      <c r="B4" s="13" t="n">
        <v>29530</v>
      </c>
      <c r="C4" s="10" t="n">
        <v>3246293</v>
      </c>
      <c r="D4" s="9"/>
    </row>
    <row r="5" customFormat="false" ht="16.4" hidden="false" customHeight="false" outlineLevel="0" collapsed="false">
      <c r="A5" s="9" t="s">
        <v>163</v>
      </c>
      <c r="B5" s="13" t="n">
        <v>31018</v>
      </c>
      <c r="C5" s="10" t="n">
        <v>3211701</v>
      </c>
      <c r="D5" s="9"/>
    </row>
    <row r="6" customFormat="false" ht="16.4" hidden="false" customHeight="false" outlineLevel="0" collapsed="false">
      <c r="A6" s="9" t="s">
        <v>164</v>
      </c>
      <c r="B6" s="13" t="n">
        <v>36411</v>
      </c>
      <c r="C6" s="10" t="n">
        <v>3700772.5</v>
      </c>
      <c r="D6" s="9"/>
    </row>
    <row r="7" customFormat="false" ht="16.4" hidden="false" customHeight="false" outlineLevel="0" collapsed="false">
      <c r="A7" s="9" t="s">
        <v>165</v>
      </c>
      <c r="B7" s="13" t="n">
        <v>35786</v>
      </c>
      <c r="C7" s="10" t="n">
        <v>3133799</v>
      </c>
      <c r="D7" s="9"/>
    </row>
    <row r="8" customFormat="false" ht="16.4" hidden="false" customHeight="false" outlineLevel="0" collapsed="false">
      <c r="A8" s="9" t="s">
        <v>166</v>
      </c>
      <c r="B8" s="13" t="n">
        <v>27768</v>
      </c>
      <c r="C8" s="10" t="n">
        <v>3243824</v>
      </c>
      <c r="D8" s="9"/>
    </row>
    <row r="9" customFormat="false" ht="16.4" hidden="false" customHeight="false" outlineLevel="0" collapsed="false">
      <c r="A9" s="9" t="s">
        <v>167</v>
      </c>
      <c r="B9" s="13" t="n">
        <v>27584</v>
      </c>
      <c r="C9" s="10" t="n">
        <v>3476208</v>
      </c>
      <c r="D9" s="9"/>
    </row>
    <row r="10" customFormat="false" ht="16.4" hidden="false" customHeight="false" outlineLevel="0" collapsed="false">
      <c r="A10" s="9" t="s">
        <v>168</v>
      </c>
      <c r="B10" s="13" t="n">
        <v>29721</v>
      </c>
      <c r="C10" s="10" t="n">
        <v>2872394.75</v>
      </c>
      <c r="D10" s="9"/>
    </row>
    <row r="11" customFormat="false" ht="16.4" hidden="false" customHeight="false" outlineLevel="0" collapsed="false">
      <c r="A11" s="9" t="s">
        <v>169</v>
      </c>
      <c r="B11" s="13" t="n">
        <v>31775</v>
      </c>
      <c r="C11" s="10" t="n">
        <v>3335129</v>
      </c>
      <c r="D11" s="9"/>
    </row>
    <row r="12" customFormat="false" ht="16.4" hidden="false" customHeight="false" outlineLevel="0" collapsed="false">
      <c r="A12" s="9" t="s">
        <v>170</v>
      </c>
      <c r="B12" s="13" t="n">
        <v>36812</v>
      </c>
      <c r="C12" s="10" t="n">
        <v>3524475</v>
      </c>
      <c r="D12" s="9"/>
    </row>
    <row r="13" customFormat="false" ht="16.15" hidden="false" customHeight="false" outlineLevel="0" collapsed="false">
      <c r="A13" s="14" t="s">
        <v>179</v>
      </c>
      <c r="B13" s="15" t="n">
        <f aca="false">SUM(B4:B12)</f>
        <v>286405</v>
      </c>
      <c r="C13" s="16" t="n">
        <f aca="false">SUM(C4:C12)</f>
        <v>29744596.25</v>
      </c>
    </row>
  </sheetData>
  <dataValidations count="1">
    <dataValidation allowBlank="true" errorStyle="stop" operator="between" showDropDown="false" showErrorMessage="false" showInputMessage="false" sqref="A4:A204" type="list">
      <formula1>'0_รายการมาตรฐาน'!$B$4:$B$15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2" t="s">
        <v>180</v>
      </c>
    </row>
    <row r="3" customFormat="false" ht="31.5" hidden="false" customHeight="true" outlineLevel="0" collapsed="false">
      <c r="A3" s="3" t="s">
        <v>181</v>
      </c>
      <c r="B3" s="3" t="s">
        <v>182</v>
      </c>
      <c r="C3" s="3" t="s">
        <v>178</v>
      </c>
      <c r="D3" s="3" t="s">
        <v>125</v>
      </c>
    </row>
    <row r="4" customFormat="false" ht="16.4" hidden="false" customHeight="false" outlineLevel="0" collapsed="false">
      <c r="A4" s="9" t="s">
        <v>59</v>
      </c>
      <c r="B4" s="13" t="n">
        <v>368</v>
      </c>
      <c r="C4" s="10" t="n">
        <v>960187</v>
      </c>
      <c r="D4" s="9"/>
    </row>
    <row r="5" customFormat="false" ht="16.4" hidden="false" customHeight="false" outlineLevel="0" collapsed="false">
      <c r="A5" s="9" t="s">
        <v>64</v>
      </c>
      <c r="B5" s="13" t="n">
        <v>81974</v>
      </c>
      <c r="C5" s="10" t="n">
        <v>352720</v>
      </c>
      <c r="D5" s="9"/>
    </row>
    <row r="6" customFormat="false" ht="16.4" hidden="false" customHeight="false" outlineLevel="0" collapsed="false">
      <c r="A6" s="9" t="s">
        <v>69</v>
      </c>
      <c r="B6" s="13" t="n">
        <v>1030</v>
      </c>
      <c r="C6" s="10" t="n">
        <v>45490</v>
      </c>
      <c r="D6" s="9"/>
    </row>
    <row r="7" customFormat="false" ht="31.3" hidden="false" customHeight="false" outlineLevel="0" collapsed="false">
      <c r="A7" s="9" t="s">
        <v>74</v>
      </c>
      <c r="B7" s="13" t="n">
        <v>1468</v>
      </c>
      <c r="C7" s="10" t="n">
        <v>323600</v>
      </c>
      <c r="D7" s="9"/>
    </row>
    <row r="8" customFormat="false" ht="16.4" hidden="false" customHeight="false" outlineLevel="0" collapsed="false">
      <c r="A8" s="9" t="s">
        <v>79</v>
      </c>
      <c r="B8" s="13" t="n">
        <v>1889</v>
      </c>
      <c r="C8" s="10" t="n">
        <v>570851.5</v>
      </c>
      <c r="D8" s="9"/>
    </row>
    <row r="9" customFormat="false" ht="16.4" hidden="false" customHeight="false" outlineLevel="0" collapsed="false">
      <c r="A9" s="9" t="s">
        <v>84</v>
      </c>
      <c r="B9" s="13" t="n">
        <v>3038</v>
      </c>
      <c r="C9" s="10" t="n">
        <v>6075</v>
      </c>
      <c r="D9" s="9"/>
    </row>
    <row r="10" customFormat="false" ht="31.3" hidden="false" customHeight="false" outlineLevel="0" collapsed="false">
      <c r="A10" s="9" t="s">
        <v>88</v>
      </c>
      <c r="B10" s="13" t="n">
        <v>3718</v>
      </c>
      <c r="C10" s="10" t="n">
        <v>124180</v>
      </c>
      <c r="D10" s="9"/>
    </row>
    <row r="11" customFormat="false" ht="16.4" hidden="false" customHeight="false" outlineLevel="0" collapsed="false">
      <c r="A11" s="9" t="s">
        <v>92</v>
      </c>
      <c r="B11" s="13" t="n">
        <v>2920</v>
      </c>
      <c r="C11" s="10" t="n">
        <v>177848</v>
      </c>
      <c r="D11" s="9"/>
    </row>
    <row r="12" customFormat="false" ht="16.4" hidden="false" customHeight="false" outlineLevel="0" collapsed="false">
      <c r="A12" s="9" t="s">
        <v>96</v>
      </c>
      <c r="B12" s="13" t="n">
        <v>10767</v>
      </c>
      <c r="C12" s="10" t="n">
        <v>1013325</v>
      </c>
      <c r="D12" s="9"/>
    </row>
    <row r="13" customFormat="false" ht="16.4" hidden="false" customHeight="false" outlineLevel="0" collapsed="false">
      <c r="A13" s="9" t="s">
        <v>100</v>
      </c>
      <c r="B13" s="13" t="n">
        <v>3116</v>
      </c>
      <c r="C13" s="10" t="n">
        <v>838304</v>
      </c>
      <c r="D13" s="9"/>
    </row>
    <row r="14" customFormat="false" ht="16.4" hidden="false" customHeight="false" outlineLevel="0" collapsed="false">
      <c r="A14" s="9" t="s">
        <v>104</v>
      </c>
      <c r="B14" s="13" t="n">
        <v>176112</v>
      </c>
      <c r="C14" s="10" t="n">
        <v>25327015.75</v>
      </c>
      <c r="D14" s="9"/>
    </row>
    <row r="15" customFormat="false" ht="16.4" hidden="false" customHeight="false" outlineLevel="0" collapsed="false">
      <c r="A15" s="9" t="s">
        <v>106</v>
      </c>
      <c r="B15" s="13" t="n">
        <v>5</v>
      </c>
      <c r="C15" s="10" t="n">
        <v>5000</v>
      </c>
      <c r="D15" s="9"/>
    </row>
    <row r="16" customFormat="false" ht="16.15" hidden="false" customHeight="false" outlineLevel="0" collapsed="false">
      <c r="A16" s="14" t="s">
        <v>179</v>
      </c>
      <c r="B16" s="15" t="n">
        <f aca="false">SUM(B4:B15)</f>
        <v>286405</v>
      </c>
      <c r="C16" s="16" t="n">
        <f aca="false">SUM(C4:C15)</f>
        <v>29744596.25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7" min="4" style="0" width="14"/>
    <col collapsed="false" customWidth="true" hidden="false" outlineLevel="0" max="8" min="8" style="0" width="16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2" t="s">
        <v>183</v>
      </c>
    </row>
    <row r="3" customFormat="false" ht="31.5" hidden="false" customHeight="true" outlineLevel="0" collapsed="false">
      <c r="A3" s="3" t="s">
        <v>184</v>
      </c>
      <c r="B3" s="3" t="s">
        <v>185</v>
      </c>
      <c r="C3" s="3" t="s">
        <v>186</v>
      </c>
      <c r="D3" s="3" t="s">
        <v>187</v>
      </c>
      <c r="E3" s="3" t="s">
        <v>188</v>
      </c>
      <c r="F3" s="3" t="s">
        <v>189</v>
      </c>
      <c r="G3" s="3" t="s">
        <v>190</v>
      </c>
      <c r="H3" s="3" t="s">
        <v>191</v>
      </c>
      <c r="I3" s="3" t="s">
        <v>125</v>
      </c>
    </row>
    <row r="4" customFormat="false" ht="31.3" hidden="false" customHeight="false" outlineLevel="0" collapsed="false">
      <c r="A4" s="13" t="n">
        <v>1</v>
      </c>
      <c r="B4" s="9" t="s">
        <v>61</v>
      </c>
      <c r="C4" s="10" t="n">
        <v>144410</v>
      </c>
      <c r="D4" s="10" t="n">
        <v>0</v>
      </c>
      <c r="E4" s="10" t="n">
        <v>0</v>
      </c>
      <c r="F4" s="10" t="n">
        <v>144410</v>
      </c>
      <c r="G4" s="10" t="n">
        <v>0</v>
      </c>
      <c r="H4" s="10" t="n">
        <v>144410</v>
      </c>
      <c r="I4" s="9"/>
    </row>
    <row r="5" customFormat="false" ht="16.4" hidden="false" customHeight="false" outlineLevel="0" collapsed="false">
      <c r="A5" s="13" t="n">
        <v>2</v>
      </c>
      <c r="B5" s="9" t="s">
        <v>66</v>
      </c>
      <c r="C5" s="10" t="n">
        <v>213980.35</v>
      </c>
      <c r="D5" s="10" t="n">
        <v>0</v>
      </c>
      <c r="E5" s="10" t="n">
        <v>0</v>
      </c>
      <c r="F5" s="10" t="n">
        <v>213980.35</v>
      </c>
      <c r="G5" s="10" t="n">
        <v>0</v>
      </c>
      <c r="H5" s="10" t="n">
        <v>213980.35</v>
      </c>
      <c r="I5" s="9"/>
    </row>
    <row r="6" customFormat="false" ht="31.3" hidden="false" customHeight="false" outlineLevel="0" collapsed="false">
      <c r="A6" s="13" t="n">
        <v>3</v>
      </c>
      <c r="B6" s="9" t="s">
        <v>71</v>
      </c>
      <c r="C6" s="10" t="n">
        <v>15819</v>
      </c>
      <c r="D6" s="10" t="n">
        <v>0</v>
      </c>
      <c r="E6" s="10" t="n">
        <v>591</v>
      </c>
      <c r="F6" s="10" t="n">
        <v>15228</v>
      </c>
      <c r="G6" s="10" t="n">
        <v>591</v>
      </c>
      <c r="H6" s="10" t="n">
        <v>15228</v>
      </c>
      <c r="I6" s="9"/>
    </row>
    <row r="7" customFormat="false" ht="16.4" hidden="false" customHeight="false" outlineLevel="0" collapsed="false">
      <c r="A7" s="13" t="n">
        <v>4</v>
      </c>
      <c r="B7" s="9" t="s">
        <v>76</v>
      </c>
      <c r="C7" s="10" t="n">
        <v>35660</v>
      </c>
      <c r="D7" s="10" t="n">
        <v>0</v>
      </c>
      <c r="E7" s="10" t="n">
        <v>0</v>
      </c>
      <c r="F7" s="10" t="n">
        <v>35660</v>
      </c>
      <c r="G7" s="10" t="n">
        <v>0</v>
      </c>
      <c r="H7" s="10" t="n">
        <v>35660</v>
      </c>
      <c r="I7" s="9"/>
    </row>
    <row r="8" customFormat="false" ht="16.4" hidden="false" customHeight="false" outlineLevel="0" collapsed="false">
      <c r="A8" s="13" t="n">
        <v>5</v>
      </c>
      <c r="B8" s="9" t="s">
        <v>81</v>
      </c>
      <c r="C8" s="10" t="n">
        <v>23753533.83</v>
      </c>
      <c r="D8" s="10" t="n">
        <v>3594941.11</v>
      </c>
      <c r="E8" s="10" t="n">
        <v>3378244.9</v>
      </c>
      <c r="F8" s="10" t="n">
        <v>16780347.82</v>
      </c>
      <c r="G8" s="10" t="n">
        <v>3299851.43</v>
      </c>
      <c r="H8" s="10" t="n">
        <v>16780347.82</v>
      </c>
      <c r="I8" s="9"/>
    </row>
    <row r="9" customFormat="false" ht="31.3" hidden="false" customHeight="false" outlineLevel="0" collapsed="false">
      <c r="A9" s="13" t="n">
        <v>6</v>
      </c>
      <c r="B9" s="9" t="s">
        <v>86</v>
      </c>
      <c r="C9" s="10" t="n">
        <v>388514.03</v>
      </c>
      <c r="D9" s="10" t="n">
        <v>0</v>
      </c>
      <c r="E9" s="10" t="n">
        <v>0</v>
      </c>
      <c r="F9" s="10" t="n">
        <v>388514.03</v>
      </c>
      <c r="G9" s="10" t="n">
        <v>0</v>
      </c>
      <c r="H9" s="10" t="n">
        <v>388514.03</v>
      </c>
      <c r="I9" s="9"/>
    </row>
    <row r="10" customFormat="false" ht="31.3" hidden="false" customHeight="false" outlineLevel="0" collapsed="false">
      <c r="A10" s="13" t="n">
        <v>7</v>
      </c>
      <c r="B10" s="9" t="s">
        <v>90</v>
      </c>
      <c r="C10" s="10" t="n">
        <v>575192.62</v>
      </c>
      <c r="D10" s="10" t="n">
        <v>183996.31</v>
      </c>
      <c r="E10" s="10" t="n">
        <v>0</v>
      </c>
      <c r="F10" s="10" t="n">
        <v>391196.31</v>
      </c>
      <c r="G10" s="10" t="n">
        <v>0</v>
      </c>
      <c r="H10" s="10" t="n">
        <v>391196.31</v>
      </c>
      <c r="I10" s="9"/>
    </row>
    <row r="11" customFormat="false" ht="31.3" hidden="false" customHeight="false" outlineLevel="0" collapsed="false">
      <c r="A11" s="13" t="n">
        <v>8</v>
      </c>
      <c r="B11" s="9" t="s">
        <v>94</v>
      </c>
      <c r="C11" s="10" t="n">
        <v>7276.6</v>
      </c>
      <c r="D11" s="10" t="n">
        <v>0</v>
      </c>
      <c r="E11" s="10" t="n">
        <v>0</v>
      </c>
      <c r="F11" s="10" t="n">
        <v>7276</v>
      </c>
      <c r="G11" s="10" t="n">
        <v>0</v>
      </c>
      <c r="H11" s="10" t="n">
        <v>7276</v>
      </c>
      <c r="I11" s="9"/>
    </row>
    <row r="12" customFormat="false" ht="46.25" hidden="false" customHeight="false" outlineLevel="0" collapsed="false">
      <c r="A12" s="13" t="n">
        <v>9</v>
      </c>
      <c r="B12" s="9" t="s">
        <v>98</v>
      </c>
      <c r="C12" s="10" t="n">
        <v>4779498</v>
      </c>
      <c r="D12" s="10" t="n">
        <v>0</v>
      </c>
      <c r="E12" s="10" t="n">
        <v>0</v>
      </c>
      <c r="F12" s="10" t="n">
        <v>4779498</v>
      </c>
      <c r="G12" s="10" t="n">
        <v>0</v>
      </c>
      <c r="H12" s="10" t="n">
        <v>4779498</v>
      </c>
      <c r="I12" s="9"/>
    </row>
    <row r="13" customFormat="false" ht="31.3" hidden="false" customHeight="false" outlineLevel="0" collapsed="false">
      <c r="A13" s="13" t="n">
        <v>10</v>
      </c>
      <c r="B13" s="9" t="s">
        <v>102</v>
      </c>
      <c r="C13" s="10" t="n">
        <v>89370</v>
      </c>
      <c r="D13" s="10" t="n">
        <v>10945</v>
      </c>
      <c r="E13" s="10" t="n">
        <v>0</v>
      </c>
      <c r="F13" s="10" t="n">
        <v>78425</v>
      </c>
      <c r="G13" s="10" t="n">
        <v>847</v>
      </c>
      <c r="H13" s="10" t="n">
        <v>78425</v>
      </c>
      <c r="I13" s="9"/>
    </row>
    <row r="14" customFormat="false" ht="46.25" hidden="false" customHeight="false" outlineLevel="0" collapsed="false">
      <c r="A14" s="13" t="n">
        <v>11</v>
      </c>
      <c r="B14" s="9" t="s">
        <v>75</v>
      </c>
      <c r="C14" s="10" t="n">
        <v>3634307.6</v>
      </c>
      <c r="D14" s="10" t="n">
        <v>0</v>
      </c>
      <c r="E14" s="10" t="n">
        <v>0</v>
      </c>
      <c r="F14" s="10" t="n">
        <v>3634307.6</v>
      </c>
      <c r="G14" s="10" t="n">
        <v>0</v>
      </c>
      <c r="H14" s="10" t="n">
        <v>3634307.6</v>
      </c>
      <c r="I14" s="9"/>
    </row>
    <row r="15" customFormat="false" ht="16.4" hidden="false" customHeight="false" outlineLevel="0" collapsed="false">
      <c r="A15" s="13" t="n">
        <v>12</v>
      </c>
      <c r="B15" s="9" t="s">
        <v>107</v>
      </c>
      <c r="C15" s="10" t="n">
        <v>1387428.27</v>
      </c>
      <c r="D15" s="10" t="n">
        <v>1104</v>
      </c>
      <c r="E15" s="10" t="n">
        <v>0</v>
      </c>
      <c r="F15" s="10" t="n">
        <v>1386324.27</v>
      </c>
      <c r="G15" s="10" t="n">
        <v>0</v>
      </c>
      <c r="H15" s="10" t="n">
        <v>1386324.27</v>
      </c>
      <c r="I15" s="9"/>
    </row>
    <row r="16" customFormat="false" ht="31.3" hidden="false" customHeight="false" outlineLevel="0" collapsed="false">
      <c r="A16" s="13" t="n">
        <v>13</v>
      </c>
      <c r="B16" s="9" t="s">
        <v>109</v>
      </c>
      <c r="C16" s="10" t="n">
        <v>99183</v>
      </c>
      <c r="D16" s="10" t="n">
        <v>0</v>
      </c>
      <c r="E16" s="10" t="n">
        <v>0</v>
      </c>
      <c r="F16" s="10" t="n">
        <v>99183</v>
      </c>
      <c r="G16" s="10" t="n">
        <v>0</v>
      </c>
      <c r="H16" s="10" t="n">
        <v>99183</v>
      </c>
      <c r="I16" s="9"/>
    </row>
    <row r="17" customFormat="false" ht="31.3" hidden="false" customHeight="false" outlineLevel="0" collapsed="false">
      <c r="A17" s="13" t="n">
        <v>14</v>
      </c>
      <c r="B17" s="9" t="s">
        <v>111</v>
      </c>
      <c r="C17" s="10" t="n">
        <v>28910523.98</v>
      </c>
      <c r="D17" s="10" t="n">
        <v>0</v>
      </c>
      <c r="E17" s="10" t="n">
        <v>410034</v>
      </c>
      <c r="F17" s="10" t="n">
        <v>28500489.98</v>
      </c>
      <c r="G17" s="10" t="n">
        <v>485421.75</v>
      </c>
      <c r="H17" s="10" t="n">
        <v>28500489.98</v>
      </c>
      <c r="I17" s="9"/>
    </row>
    <row r="18" customFormat="false" ht="31.3" hidden="false" customHeight="false" outlineLevel="0" collapsed="false">
      <c r="A18" s="13" t="n">
        <v>15</v>
      </c>
      <c r="B18" s="9" t="s">
        <v>112</v>
      </c>
      <c r="C18" s="10" t="n">
        <v>195.7</v>
      </c>
      <c r="D18" s="10" t="n">
        <v>0</v>
      </c>
      <c r="E18" s="10" t="n">
        <v>0</v>
      </c>
      <c r="F18" s="10" t="n">
        <v>195.7</v>
      </c>
      <c r="G18" s="10" t="n">
        <v>0</v>
      </c>
      <c r="H18" s="10" t="n">
        <v>195.7</v>
      </c>
      <c r="I18" s="9"/>
    </row>
    <row r="19" customFormat="false" ht="16.4" hidden="false" customHeight="false" outlineLevel="0" collapsed="false">
      <c r="A19" s="13" t="n">
        <v>16</v>
      </c>
      <c r="B19" s="9" t="s">
        <v>114</v>
      </c>
      <c r="C19" s="10" t="n">
        <v>1404331.41</v>
      </c>
      <c r="D19" s="10" t="n">
        <v>280</v>
      </c>
      <c r="E19" s="10" t="n">
        <v>450</v>
      </c>
      <c r="F19" s="10" t="n">
        <v>1403601.41</v>
      </c>
      <c r="G19" s="10" t="n">
        <v>0</v>
      </c>
      <c r="H19" s="10" t="n">
        <v>1403601.41</v>
      </c>
      <c r="I19" s="9"/>
    </row>
    <row r="20" customFormat="false" ht="46.25" hidden="false" customHeight="false" outlineLevel="0" collapsed="false">
      <c r="A20" s="13" t="n">
        <v>17</v>
      </c>
      <c r="B20" s="9" t="s">
        <v>101</v>
      </c>
      <c r="C20" s="10" t="n">
        <v>501945</v>
      </c>
      <c r="D20" s="10" t="n">
        <v>50625</v>
      </c>
      <c r="E20" s="10" t="n">
        <v>0</v>
      </c>
      <c r="F20" s="10" t="n">
        <v>451320</v>
      </c>
      <c r="G20" s="10" t="n">
        <v>0</v>
      </c>
      <c r="H20" s="10" t="n">
        <v>451320</v>
      </c>
      <c r="I20" s="9"/>
    </row>
    <row r="21" customFormat="false" ht="46.25" hidden="false" customHeight="false" outlineLevel="0" collapsed="false">
      <c r="A21" s="13" t="n">
        <v>18</v>
      </c>
      <c r="B21" s="9" t="s">
        <v>117</v>
      </c>
      <c r="C21" s="10" t="n">
        <v>10191072.65</v>
      </c>
      <c r="D21" s="10" t="n">
        <v>58000</v>
      </c>
      <c r="E21" s="10" t="n">
        <v>15050</v>
      </c>
      <c r="F21" s="10" t="n">
        <v>10118022.65</v>
      </c>
      <c r="G21" s="10" t="n">
        <v>15050</v>
      </c>
      <c r="H21" s="10" t="n">
        <v>10118022.65</v>
      </c>
      <c r="I21" s="9"/>
    </row>
    <row r="22" customFormat="false" ht="31.3" hidden="false" customHeight="false" outlineLevel="0" collapsed="false">
      <c r="A22" s="13" t="n">
        <v>19</v>
      </c>
      <c r="B22" s="9" t="s">
        <v>119</v>
      </c>
      <c r="C22" s="10" t="n">
        <v>329342.94</v>
      </c>
      <c r="D22" s="10" t="n">
        <v>0</v>
      </c>
      <c r="E22" s="10" t="n">
        <v>12160</v>
      </c>
      <c r="F22" s="10" t="n">
        <v>317182.94</v>
      </c>
      <c r="G22" s="10" t="n">
        <v>12160</v>
      </c>
      <c r="H22" s="10" t="n">
        <v>317182.94</v>
      </c>
      <c r="I22" s="9"/>
    </row>
    <row r="23" customFormat="false" ht="16.15" hidden="false" customHeight="false" outlineLevel="0" collapsed="false">
      <c r="A23" s="14"/>
      <c r="B23" s="14" t="s">
        <v>179</v>
      </c>
      <c r="C23" s="16" t="n">
        <f aca="false">SUM(C4:C22)</f>
        <v>76461584.98</v>
      </c>
      <c r="D23" s="16" t="n">
        <f aca="false">SUM(D4:D22)</f>
        <v>3899891.42</v>
      </c>
      <c r="E23" s="16" t="n">
        <f aca="false">SUM(E4:E22)</f>
        <v>3816529.9</v>
      </c>
      <c r="F23" s="16" t="n">
        <f aca="false">SUM(F4:F22)</f>
        <v>68745163.06</v>
      </c>
      <c r="G23" s="16" t="n">
        <f aca="false">SUM(G4:G22)</f>
        <v>3813921.18</v>
      </c>
      <c r="H23" s="16" t="n">
        <f aca="false">SUM(H4:H22)</f>
        <v>68745163.06</v>
      </c>
    </row>
    <row r="25" customFormat="false" ht="15" hidden="false" customHeight="false" outlineLevel="0" collapsed="false">
      <c r="A25" s="5" t="s">
        <v>192</v>
      </c>
    </row>
  </sheetData>
  <dataValidations count="1">
    <dataValidation allowBlank="true" errorStyle="stop" operator="between" showDropDown="false" showErrorMessage="false" showInputMessage="false" sqref="B4:B204" type="list">
      <formula1>'0_รายการมาตรฐาน'!$E$4:$E$22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2" t="s">
        <v>193</v>
      </c>
    </row>
    <row r="2" customFormat="false" ht="15" hidden="false" customHeight="false" outlineLevel="0" collapsed="false">
      <c r="A2" s="5" t="s">
        <v>194</v>
      </c>
    </row>
    <row r="4" customFormat="false" ht="31.5" hidden="false" customHeight="true" outlineLevel="0" collapsed="false">
      <c r="A4" s="3" t="s">
        <v>195</v>
      </c>
      <c r="B4" s="3" t="s">
        <v>196</v>
      </c>
      <c r="C4" s="3" t="s">
        <v>197</v>
      </c>
      <c r="D4" s="3" t="s">
        <v>198</v>
      </c>
      <c r="E4" s="3" t="s">
        <v>199</v>
      </c>
      <c r="F4" s="3" t="s">
        <v>125</v>
      </c>
    </row>
    <row r="5" customFormat="false" ht="31.3" hidden="false" customHeight="false" outlineLevel="0" collapsed="false">
      <c r="A5" s="9" t="s">
        <v>200</v>
      </c>
      <c r="B5" s="10" t="n">
        <v>3384252.5</v>
      </c>
      <c r="C5" s="10" t="n">
        <v>4040835</v>
      </c>
      <c r="D5" s="10" t="n">
        <v>4950029</v>
      </c>
      <c r="E5" s="10" t="n">
        <v>2641881.75</v>
      </c>
      <c r="F5" s="9"/>
    </row>
    <row r="6" customFormat="false" ht="16.4" hidden="false" customHeight="false" outlineLevel="0" collapsed="false">
      <c r="A6" s="9" t="s">
        <v>201</v>
      </c>
      <c r="B6" s="10" t="n">
        <v>46020</v>
      </c>
      <c r="C6" s="10" t="n">
        <v>50202</v>
      </c>
      <c r="D6" s="10" t="n">
        <v>53450</v>
      </c>
      <c r="E6" s="10" t="n">
        <v>41310</v>
      </c>
      <c r="F6" s="9"/>
    </row>
    <row r="7" customFormat="false" ht="16.4" hidden="false" customHeight="false" outlineLevel="0" collapsed="false">
      <c r="A7" s="9" t="s">
        <v>202</v>
      </c>
      <c r="B7" s="10" t="n">
        <v>350270</v>
      </c>
      <c r="C7" s="10" t="n">
        <v>408419</v>
      </c>
      <c r="D7" s="10" t="n">
        <v>401330</v>
      </c>
      <c r="E7" s="10" t="n">
        <v>325980</v>
      </c>
      <c r="F7" s="9"/>
    </row>
    <row r="8" customFormat="false" ht="16.4" hidden="false" customHeight="false" outlineLevel="0" collapsed="false">
      <c r="A8" s="9" t="s">
        <v>203</v>
      </c>
      <c r="B8" s="10" t="n">
        <v>32755</v>
      </c>
      <c r="C8" s="10" t="n">
        <v>33220</v>
      </c>
      <c r="D8" s="10" t="n">
        <v>32730</v>
      </c>
      <c r="E8" s="10" t="n">
        <v>25685</v>
      </c>
      <c r="F8" s="9"/>
    </row>
    <row r="9" customFormat="false" ht="31.3" hidden="false" customHeight="false" outlineLevel="0" collapsed="false">
      <c r="A9" s="9" t="s">
        <v>204</v>
      </c>
      <c r="B9" s="10" t="n">
        <v>2579776.5</v>
      </c>
      <c r="C9" s="10" t="n">
        <v>2744500.25</v>
      </c>
      <c r="D9" s="10" t="n">
        <v>3028112.25</v>
      </c>
      <c r="E9" s="10" t="n">
        <v>2263241.25</v>
      </c>
      <c r="F9" s="9"/>
    </row>
    <row r="10" customFormat="false" ht="31.3" hidden="false" customHeight="false" outlineLevel="0" collapsed="false">
      <c r="A10" s="9" t="s">
        <v>205</v>
      </c>
      <c r="B10" s="10" t="n">
        <v>848135.12</v>
      </c>
      <c r="C10" s="10" t="n">
        <v>424887.03</v>
      </c>
      <c r="D10" s="10" t="n">
        <v>593461.39</v>
      </c>
      <c r="E10" s="10" t="n">
        <v>461702.65</v>
      </c>
      <c r="F10" s="9"/>
    </row>
    <row r="11" customFormat="false" ht="31.3" hidden="false" customHeight="false" outlineLevel="0" collapsed="false">
      <c r="A11" s="9" t="s">
        <v>206</v>
      </c>
      <c r="B11" s="10"/>
      <c r="C11" s="10"/>
      <c r="D11" s="10"/>
      <c r="E11" s="10" t="n">
        <v>212440.25</v>
      </c>
      <c r="F11" s="9"/>
    </row>
    <row r="12" customFormat="false" ht="31.3" hidden="false" customHeight="false" outlineLevel="0" collapsed="false">
      <c r="A12" s="9" t="s">
        <v>207</v>
      </c>
      <c r="B12" s="10" t="n">
        <v>18096.4</v>
      </c>
      <c r="C12" s="10" t="n">
        <v>368893.15</v>
      </c>
      <c r="D12" s="10" t="n">
        <v>389476</v>
      </c>
      <c r="E12" s="10" t="n">
        <v>179657</v>
      </c>
      <c r="F12" s="9"/>
    </row>
    <row r="13" customFormat="false" ht="31.3" hidden="false" customHeight="false" outlineLevel="0" collapsed="false">
      <c r="A13" s="9" t="s">
        <v>208</v>
      </c>
      <c r="B13" s="10"/>
      <c r="C13" s="10"/>
      <c r="D13" s="10"/>
      <c r="E13" s="10" t="n">
        <v>1257</v>
      </c>
      <c r="F13" s="9"/>
    </row>
    <row r="14" customFormat="false" ht="31.3" hidden="false" customHeight="false" outlineLevel="0" collapsed="false">
      <c r="A14" s="9" t="s">
        <v>209</v>
      </c>
      <c r="B14" s="10" t="n">
        <v>126216</v>
      </c>
      <c r="C14" s="10" t="n">
        <v>152366</v>
      </c>
      <c r="D14" s="10" t="n">
        <v>131220</v>
      </c>
      <c r="E14" s="10" t="n">
        <v>70103</v>
      </c>
      <c r="F14" s="9"/>
    </row>
    <row r="15" customFormat="false" ht="31.3" hidden="false" customHeight="false" outlineLevel="0" collapsed="false">
      <c r="A15" s="9" t="s">
        <v>210</v>
      </c>
      <c r="B15" s="10"/>
      <c r="C15" s="10"/>
      <c r="D15" s="10"/>
      <c r="E15" s="10" t="n">
        <v>2760</v>
      </c>
      <c r="F15" s="9"/>
    </row>
    <row r="16" customFormat="false" ht="16.4" hidden="false" customHeight="false" outlineLevel="0" collapsed="false">
      <c r="A16" s="9" t="s">
        <v>211</v>
      </c>
      <c r="B16" s="10" t="n">
        <v>761960</v>
      </c>
      <c r="C16" s="10" t="n">
        <v>608807.75</v>
      </c>
      <c r="D16" s="10" t="n">
        <v>536793</v>
      </c>
      <c r="E16" s="10" t="n">
        <v>529526</v>
      </c>
      <c r="F16" s="9"/>
    </row>
    <row r="17" customFormat="false" ht="31.3" hidden="false" customHeight="false" outlineLevel="0" collapsed="false">
      <c r="A17" s="9" t="s">
        <v>212</v>
      </c>
      <c r="B17" s="10" t="n">
        <v>3533430</v>
      </c>
      <c r="C17" s="10" t="n">
        <v>1535345</v>
      </c>
      <c r="D17" s="10" t="n">
        <v>5212665</v>
      </c>
      <c r="E17" s="10" t="n">
        <v>1261800</v>
      </c>
      <c r="F17" s="9"/>
    </row>
    <row r="18" customFormat="false" ht="31.3" hidden="false" customHeight="false" outlineLevel="0" collapsed="false">
      <c r="A18" s="9" t="s">
        <v>213</v>
      </c>
      <c r="B18" s="10" t="n">
        <v>9406</v>
      </c>
      <c r="C18" s="10" t="n">
        <v>23235</v>
      </c>
      <c r="D18" s="10" t="n">
        <v>33603</v>
      </c>
      <c r="E18" s="10" t="n">
        <v>91832.45</v>
      </c>
      <c r="F18" s="9"/>
    </row>
    <row r="19" customFormat="false" ht="16.4" hidden="false" customHeight="false" outlineLevel="0" collapsed="false">
      <c r="A19" s="9" t="s">
        <v>214</v>
      </c>
      <c r="B19" s="10" t="n">
        <v>526734.76</v>
      </c>
      <c r="C19" s="10" t="n">
        <v>775196.66</v>
      </c>
      <c r="D19" s="10" t="n">
        <v>1625070.43</v>
      </c>
      <c r="E19" s="10" t="n">
        <v>369366.35</v>
      </c>
      <c r="F19" s="9"/>
    </row>
    <row r="20" customFormat="false" ht="31.3" hidden="false" customHeight="false" outlineLevel="0" collapsed="false">
      <c r="A20" s="9" t="s">
        <v>215</v>
      </c>
      <c r="B20" s="10"/>
      <c r="C20" s="10"/>
      <c r="D20" s="10" t="n">
        <v>1107</v>
      </c>
      <c r="E20" s="10"/>
      <c r="F20" s="9"/>
    </row>
    <row r="21" customFormat="false" ht="16.4" hidden="false" customHeight="false" outlineLevel="0" collapsed="false">
      <c r="A21" s="9" t="s">
        <v>216</v>
      </c>
      <c r="B21" s="10" t="n">
        <v>110179569.76</v>
      </c>
      <c r="C21" s="10" t="n">
        <v>77719639.56</v>
      </c>
      <c r="D21" s="10" t="n">
        <v>64543165.75</v>
      </c>
      <c r="E21" s="10" t="n">
        <v>67452065.27</v>
      </c>
      <c r="F21" s="9"/>
    </row>
    <row r="22" customFormat="false" ht="16.4" hidden="false" customHeight="false" outlineLevel="0" collapsed="false">
      <c r="A22" s="9" t="s">
        <v>217</v>
      </c>
      <c r="B22" s="10" t="n">
        <v>71800</v>
      </c>
      <c r="C22" s="10" t="n">
        <v>0</v>
      </c>
      <c r="D22" s="10" t="n">
        <v>0</v>
      </c>
      <c r="E22" s="10" t="n">
        <v>0</v>
      </c>
      <c r="F22" s="9"/>
    </row>
    <row r="23" customFormat="false" ht="16.4" hidden="false" customHeight="false" outlineLevel="0" collapsed="false">
      <c r="A23" s="9" t="s">
        <v>218</v>
      </c>
      <c r="B23" s="10" t="n">
        <v>5501697.82</v>
      </c>
      <c r="C23" s="10" t="n">
        <v>2407875.87</v>
      </c>
      <c r="D23" s="10" t="n">
        <v>5564501.47</v>
      </c>
      <c r="E23" s="10" t="n">
        <v>2918005.4</v>
      </c>
      <c r="F23" s="9"/>
    </row>
    <row r="24" customFormat="false" ht="16.4" hidden="false" customHeight="false" outlineLevel="0" collapsed="false">
      <c r="A24" s="9" t="s">
        <v>219</v>
      </c>
      <c r="B24" s="10"/>
      <c r="C24" s="10"/>
      <c r="D24" s="10"/>
      <c r="E24" s="10" t="n">
        <v>270000</v>
      </c>
      <c r="F24" s="9"/>
    </row>
    <row r="25" customFormat="false" ht="16.4" hidden="false" customHeight="false" outlineLevel="0" collapsed="false">
      <c r="A25" s="9" t="s">
        <v>220</v>
      </c>
      <c r="B25" s="10"/>
      <c r="C25" s="10"/>
      <c r="D25" s="10"/>
      <c r="E25" s="10" t="n">
        <v>174345.35</v>
      </c>
      <c r="F25" s="9"/>
    </row>
    <row r="26" customFormat="false" ht="16.4" hidden="false" customHeight="false" outlineLevel="0" collapsed="false">
      <c r="A26" s="9" t="s">
        <v>221</v>
      </c>
      <c r="B26" s="10"/>
      <c r="C26" s="10"/>
      <c r="D26" s="10"/>
      <c r="E26" s="10" t="n">
        <v>352800</v>
      </c>
      <c r="F26" s="9"/>
    </row>
    <row r="27" customFormat="false" ht="16.4" hidden="false" customHeight="false" outlineLevel="0" collapsed="false">
      <c r="A27" s="9" t="s">
        <v>222</v>
      </c>
      <c r="B27" s="10"/>
      <c r="C27" s="10"/>
      <c r="D27" s="10"/>
      <c r="E27" s="10" t="n">
        <v>96600</v>
      </c>
      <c r="F27" s="9"/>
    </row>
    <row r="28" customFormat="false" ht="16.4" hidden="false" customHeight="false" outlineLevel="0" collapsed="false">
      <c r="A28" s="9" t="s">
        <v>223</v>
      </c>
      <c r="B28" s="10"/>
      <c r="C28" s="10"/>
      <c r="D28" s="10"/>
      <c r="E28" s="10" t="n">
        <v>185412</v>
      </c>
      <c r="F28" s="9"/>
    </row>
    <row r="29" customFormat="false" ht="16.4" hidden="false" customHeight="false" outlineLevel="0" collapsed="false">
      <c r="A29" s="9" t="s">
        <v>224</v>
      </c>
      <c r="B29" s="10"/>
      <c r="C29" s="10"/>
      <c r="D29" s="10"/>
      <c r="E29" s="10" t="n">
        <v>130786.32</v>
      </c>
      <c r="F29" s="9"/>
    </row>
    <row r="30" customFormat="false" ht="16.4" hidden="false" customHeight="false" outlineLevel="0" collapsed="false">
      <c r="A30" s="9" t="s">
        <v>225</v>
      </c>
      <c r="B30" s="10"/>
      <c r="C30" s="10"/>
      <c r="D30" s="10"/>
      <c r="E30" s="10" t="n">
        <v>65873</v>
      </c>
      <c r="F30" s="9"/>
    </row>
    <row r="31" customFormat="false" ht="31.3" hidden="false" customHeight="false" outlineLevel="0" collapsed="false">
      <c r="A31" s="9" t="s">
        <v>226</v>
      </c>
      <c r="B31" s="10"/>
      <c r="C31" s="10"/>
      <c r="D31" s="10"/>
      <c r="E31" s="10" t="n">
        <v>5000</v>
      </c>
      <c r="F31" s="9"/>
    </row>
    <row r="32" customFormat="false" ht="16.4" hidden="false" customHeight="false" outlineLevel="0" collapsed="false">
      <c r="A32" s="17" t="s">
        <v>227</v>
      </c>
      <c r="B32" s="16" t="n">
        <f aca="false">SUM(B5:B31)</f>
        <v>127970119.86</v>
      </c>
      <c r="C32" s="16" t="n">
        <f aca="false">SUM(C5:C31)</f>
        <v>91293422.27</v>
      </c>
      <c r="D32" s="16" t="n">
        <f aca="false">SUM(D5:D31)</f>
        <v>87096714.29</v>
      </c>
      <c r="E32" s="16" t="n">
        <f aca="false">SUM(E5:E31)</f>
        <v>80129430.04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2" t="s">
        <v>228</v>
      </c>
    </row>
    <row r="2" customFormat="false" ht="15" hidden="false" customHeight="false" outlineLevel="0" collapsed="false">
      <c r="A2" s="5"/>
    </row>
    <row r="4" customFormat="false" ht="31.5" hidden="false" customHeight="true" outlineLevel="0" collapsed="false">
      <c r="A4" s="3" t="s">
        <v>195</v>
      </c>
      <c r="B4" s="3" t="s">
        <v>196</v>
      </c>
      <c r="C4" s="3" t="s">
        <v>197</v>
      </c>
      <c r="D4" s="3" t="s">
        <v>198</v>
      </c>
      <c r="E4" s="3" t="s">
        <v>199</v>
      </c>
      <c r="F4" s="3" t="s">
        <v>125</v>
      </c>
    </row>
    <row r="5" customFormat="false" ht="16.4" hidden="false" customHeight="false" outlineLevel="0" collapsed="false">
      <c r="A5" s="9" t="s">
        <v>229</v>
      </c>
      <c r="B5" s="10" t="n">
        <v>8159657</v>
      </c>
      <c r="C5" s="10" t="n">
        <v>8467317</v>
      </c>
      <c r="D5" s="10" t="n">
        <v>8610888</v>
      </c>
      <c r="E5" s="10" t="n">
        <v>6860473</v>
      </c>
      <c r="F5" s="9"/>
    </row>
    <row r="6" customFormat="false" ht="16.4" hidden="false" customHeight="false" outlineLevel="0" collapsed="false">
      <c r="A6" s="9" t="s">
        <v>230</v>
      </c>
      <c r="B6" s="10" t="n">
        <v>2621114</v>
      </c>
      <c r="C6" s="10" t="n">
        <v>2686458</v>
      </c>
      <c r="D6" s="10" t="n">
        <v>2687873</v>
      </c>
      <c r="E6" s="10" t="n">
        <v>2630277</v>
      </c>
      <c r="F6" s="9"/>
    </row>
    <row r="7" customFormat="false" ht="16.4" hidden="false" customHeight="false" outlineLevel="0" collapsed="false">
      <c r="A7" s="9" t="s">
        <v>231</v>
      </c>
      <c r="B7" s="10" t="n">
        <v>1883541.5</v>
      </c>
      <c r="C7" s="10" t="n">
        <v>2027525</v>
      </c>
      <c r="D7" s="10" t="n">
        <v>1850685</v>
      </c>
      <c r="E7" s="10" t="n">
        <v>718232.5</v>
      </c>
      <c r="F7" s="9"/>
    </row>
    <row r="8" customFormat="false" ht="16.4" hidden="false" customHeight="false" outlineLevel="0" collapsed="false">
      <c r="A8" s="9" t="s">
        <v>232</v>
      </c>
      <c r="B8" s="10" t="n">
        <v>536926</v>
      </c>
      <c r="C8" s="10" t="n">
        <v>660429</v>
      </c>
      <c r="D8" s="10" t="n">
        <v>481610</v>
      </c>
      <c r="E8" s="10" t="n">
        <v>522492</v>
      </c>
      <c r="F8" s="9"/>
    </row>
    <row r="9" customFormat="false" ht="16.4" hidden="false" customHeight="false" outlineLevel="0" collapsed="false">
      <c r="A9" s="9" t="s">
        <v>233</v>
      </c>
      <c r="B9" s="10" t="n">
        <v>569529</v>
      </c>
      <c r="C9" s="10" t="n">
        <v>660429</v>
      </c>
      <c r="D9" s="10" t="n">
        <v>593840</v>
      </c>
      <c r="E9" s="10" t="n">
        <v>522492</v>
      </c>
      <c r="F9" s="9"/>
    </row>
    <row r="10" customFormat="false" ht="16.4" hidden="false" customHeight="false" outlineLevel="0" collapsed="false">
      <c r="A10" s="9" t="s">
        <v>234</v>
      </c>
      <c r="B10" s="10" t="n">
        <v>44203</v>
      </c>
      <c r="C10" s="10" t="n">
        <v>13200</v>
      </c>
      <c r="D10" s="10" t="n">
        <v>125830</v>
      </c>
      <c r="E10" s="10" t="n">
        <v>13500</v>
      </c>
      <c r="F10" s="9"/>
    </row>
    <row r="11" customFormat="false" ht="16.4" hidden="false" customHeight="false" outlineLevel="0" collapsed="false">
      <c r="A11" s="9" t="s">
        <v>235</v>
      </c>
      <c r="B11" s="10" t="n">
        <v>634</v>
      </c>
      <c r="C11" s="10" t="n">
        <v>994</v>
      </c>
      <c r="D11" s="10" t="n">
        <v>226</v>
      </c>
      <c r="E11" s="10"/>
      <c r="F11" s="9"/>
    </row>
    <row r="12" customFormat="false" ht="31.3" hidden="false" customHeight="false" outlineLevel="0" collapsed="false">
      <c r="A12" s="9" t="s">
        <v>236</v>
      </c>
      <c r="B12" s="10"/>
      <c r="C12" s="10" t="n">
        <v>9980</v>
      </c>
      <c r="D12" s="10" t="n">
        <v>10237.2</v>
      </c>
      <c r="E12" s="10" t="n">
        <v>5383.22</v>
      </c>
      <c r="F12" s="9"/>
    </row>
    <row r="13" customFormat="false" ht="16.4" hidden="false" customHeight="false" outlineLevel="0" collapsed="false">
      <c r="A13" s="9" t="s">
        <v>237</v>
      </c>
      <c r="B13" s="10" t="n">
        <v>22644233.5</v>
      </c>
      <c r="C13" s="10" t="n">
        <v>24124212.24</v>
      </c>
      <c r="D13" s="10" t="n">
        <v>21855454.48</v>
      </c>
      <c r="E13" s="10" t="n">
        <v>17438137.5</v>
      </c>
      <c r="F13" s="9"/>
    </row>
    <row r="14" customFormat="false" ht="16.4" hidden="false" customHeight="false" outlineLevel="0" collapsed="false">
      <c r="A14" s="9" t="s">
        <v>238</v>
      </c>
      <c r="B14" s="10" t="n">
        <v>11278723.67</v>
      </c>
      <c r="C14" s="10" t="n">
        <v>10372627.6</v>
      </c>
      <c r="D14" s="10" t="n">
        <v>12158025.55</v>
      </c>
      <c r="E14" s="10" t="n">
        <v>8534857.78</v>
      </c>
      <c r="F14" s="9"/>
    </row>
    <row r="15" customFormat="false" ht="16.4" hidden="false" customHeight="false" outlineLevel="0" collapsed="false">
      <c r="A15" s="9" t="s">
        <v>239</v>
      </c>
      <c r="B15" s="10" t="n">
        <v>6105250.33</v>
      </c>
      <c r="C15" s="10" t="n">
        <v>3784593.8</v>
      </c>
      <c r="D15" s="10" t="n">
        <v>6315088.18</v>
      </c>
      <c r="E15" s="10" t="n">
        <v>4302044.5</v>
      </c>
      <c r="F15" s="9"/>
    </row>
    <row r="16" customFormat="false" ht="31.3" hidden="false" customHeight="false" outlineLevel="0" collapsed="false">
      <c r="A16" s="9" t="s">
        <v>240</v>
      </c>
      <c r="B16" s="10" t="n">
        <v>60316137.51</v>
      </c>
      <c r="C16" s="10" t="n">
        <v>44456509.03</v>
      </c>
      <c r="D16" s="10" t="n">
        <v>36740865.45</v>
      </c>
      <c r="E16" s="10" t="n">
        <v>39438033.86</v>
      </c>
      <c r="F16" s="9"/>
    </row>
    <row r="17" customFormat="false" ht="16.4" hidden="false" customHeight="false" outlineLevel="0" collapsed="false">
      <c r="A17" s="9" t="s">
        <v>241</v>
      </c>
      <c r="B17" s="10" t="n">
        <v>1640071</v>
      </c>
      <c r="C17" s="10" t="n">
        <v>651433</v>
      </c>
      <c r="D17" s="10" t="n">
        <v>2207474</v>
      </c>
      <c r="E17" s="10" t="n">
        <v>440568</v>
      </c>
      <c r="F17" s="9"/>
    </row>
    <row r="18" customFormat="false" ht="16.4" hidden="false" customHeight="false" outlineLevel="0" collapsed="false">
      <c r="A18" s="17" t="s">
        <v>227</v>
      </c>
      <c r="B18" s="16" t="n">
        <f aca="false">SUM(B5:B17)</f>
        <v>115800020.51</v>
      </c>
      <c r="C18" s="16" t="n">
        <f aca="false">SUM(C5:C17)</f>
        <v>97915707.67</v>
      </c>
      <c r="D18" s="16" t="n">
        <f aca="false">SUM(D5:D17)</f>
        <v>93638096.86</v>
      </c>
      <c r="E18" s="16" t="n">
        <f aca="false">SUM(E5:E17)</f>
        <v>81426491.36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2" t="s">
        <v>242</v>
      </c>
    </row>
    <row r="2" customFormat="false" ht="15" hidden="false" customHeight="false" outlineLevel="0" collapsed="false">
      <c r="A2" s="5"/>
    </row>
    <row r="4" customFormat="false" ht="31.5" hidden="false" customHeight="true" outlineLevel="0" collapsed="false">
      <c r="A4" s="3" t="s">
        <v>195</v>
      </c>
      <c r="B4" s="3" t="s">
        <v>196</v>
      </c>
      <c r="C4" s="3" t="s">
        <v>197</v>
      </c>
      <c r="D4" s="3" t="s">
        <v>198</v>
      </c>
      <c r="E4" s="3" t="s">
        <v>199</v>
      </c>
      <c r="F4" s="3" t="s">
        <v>125</v>
      </c>
    </row>
    <row r="5" customFormat="false" ht="16.4" hidden="false" customHeight="false" outlineLevel="0" collapsed="false">
      <c r="A5" s="9" t="s">
        <v>60</v>
      </c>
      <c r="B5" s="10" t="n">
        <v>30624343.84</v>
      </c>
      <c r="C5" s="10" t="n">
        <v>32897388.62</v>
      </c>
      <c r="D5" s="10" t="n">
        <v>31732359.12</v>
      </c>
      <c r="E5" s="10" t="n">
        <v>28500489.98</v>
      </c>
      <c r="F5" s="9"/>
    </row>
    <row r="6" customFormat="false" ht="16.4" hidden="false" customHeight="false" outlineLevel="0" collapsed="false">
      <c r="A6" s="9" t="s">
        <v>65</v>
      </c>
      <c r="B6" s="10" t="n">
        <v>19679116.25</v>
      </c>
      <c r="C6" s="10" t="n">
        <v>17454725.15</v>
      </c>
      <c r="D6" s="10" t="n">
        <v>11251924.73</v>
      </c>
      <c r="E6" s="10" t="n">
        <v>16580366.23</v>
      </c>
      <c r="F6" s="9"/>
    </row>
    <row r="7" customFormat="false" ht="16.4" hidden="false" customHeight="false" outlineLevel="0" collapsed="false">
      <c r="A7" s="9" t="s">
        <v>70</v>
      </c>
      <c r="B7" s="10" t="n">
        <v>1371470.5</v>
      </c>
      <c r="C7" s="10" t="n">
        <v>1423765.81</v>
      </c>
      <c r="D7" s="10" t="n">
        <v>1441140.23</v>
      </c>
      <c r="E7" s="10" t="n">
        <v>1916082.35</v>
      </c>
      <c r="F7" s="9"/>
    </row>
    <row r="8" customFormat="false" ht="31.3" hidden="false" customHeight="false" outlineLevel="0" collapsed="false">
      <c r="A8" s="9" t="s">
        <v>75</v>
      </c>
      <c r="B8" s="10" t="n">
        <v>2992344.97</v>
      </c>
      <c r="C8" s="10" t="n">
        <v>2297124.78</v>
      </c>
      <c r="D8" s="10" t="n">
        <v>2269474.54</v>
      </c>
      <c r="E8" s="10" t="n">
        <v>3634307.6</v>
      </c>
      <c r="F8" s="9"/>
    </row>
    <row r="9" customFormat="false" ht="16.4" hidden="false" customHeight="false" outlineLevel="0" collapsed="false">
      <c r="A9" s="9" t="s">
        <v>80</v>
      </c>
      <c r="B9" s="10" t="n">
        <v>106699.45</v>
      </c>
      <c r="C9" s="10" t="n">
        <v>968228.46</v>
      </c>
      <c r="D9" s="10" t="n">
        <v>71509.78</v>
      </c>
      <c r="E9" s="10" t="n">
        <v>388514.03</v>
      </c>
      <c r="F9" s="9"/>
    </row>
    <row r="10" customFormat="false" ht="16.4" hidden="false" customHeight="false" outlineLevel="0" collapsed="false">
      <c r="A10" s="9" t="s">
        <v>85</v>
      </c>
      <c r="B10" s="10" t="n">
        <v>57816</v>
      </c>
      <c r="C10" s="10"/>
      <c r="D10" s="10"/>
      <c r="E10" s="10"/>
      <c r="F10" s="9"/>
    </row>
    <row r="11" customFormat="false" ht="16.4" hidden="false" customHeight="false" outlineLevel="0" collapsed="false">
      <c r="A11" s="9" t="s">
        <v>89</v>
      </c>
      <c r="B11" s="10" t="n">
        <v>17809.95</v>
      </c>
      <c r="C11" s="10" t="n">
        <v>636284.8</v>
      </c>
      <c r="D11" s="10" t="n">
        <v>77740.95</v>
      </c>
      <c r="E11" s="10" t="n">
        <v>1386324.27</v>
      </c>
      <c r="F11" s="9"/>
    </row>
    <row r="12" customFormat="false" ht="16.4" hidden="false" customHeight="false" outlineLevel="0" collapsed="false">
      <c r="A12" s="9" t="s">
        <v>93</v>
      </c>
      <c r="B12" s="10" t="n">
        <v>8625580.42</v>
      </c>
      <c r="C12" s="10" t="n">
        <v>14305590.27</v>
      </c>
      <c r="D12" s="10" t="n">
        <v>12044772.83</v>
      </c>
      <c r="E12" s="10" t="n">
        <v>10118022.65</v>
      </c>
      <c r="F12" s="9"/>
    </row>
    <row r="13" customFormat="false" ht="16.4" hidden="false" customHeight="false" outlineLevel="0" collapsed="false">
      <c r="A13" s="9" t="s">
        <v>97</v>
      </c>
      <c r="B13" s="10" t="n">
        <v>215331</v>
      </c>
      <c r="C13" s="10" t="n">
        <v>150819</v>
      </c>
      <c r="D13" s="10" t="n">
        <v>125294</v>
      </c>
      <c r="E13" s="10" t="n">
        <v>177608</v>
      </c>
      <c r="F13" s="9"/>
    </row>
    <row r="14" customFormat="false" ht="31.3" hidden="false" customHeight="false" outlineLevel="0" collapsed="false">
      <c r="A14" s="9" t="s">
        <v>101</v>
      </c>
      <c r="B14" s="10" t="n">
        <v>815224</v>
      </c>
      <c r="C14" s="10" t="n">
        <v>661425</v>
      </c>
      <c r="D14" s="10" t="n">
        <v>197550</v>
      </c>
      <c r="E14" s="10" t="n">
        <v>451320</v>
      </c>
      <c r="F14" s="9"/>
    </row>
    <row r="15" customFormat="false" ht="46.25" hidden="false" customHeight="false" outlineLevel="0" collapsed="false">
      <c r="A15" s="9" t="s">
        <v>98</v>
      </c>
      <c r="B15" s="10" t="n">
        <v>4724858.54</v>
      </c>
      <c r="C15" s="10" t="n">
        <v>4635496.06</v>
      </c>
      <c r="D15" s="10" t="n">
        <v>4718736</v>
      </c>
      <c r="E15" s="10" t="n">
        <v>4779498</v>
      </c>
      <c r="F15" s="9"/>
    </row>
    <row r="16" customFormat="false" ht="31.3" hidden="false" customHeight="false" outlineLevel="0" collapsed="false">
      <c r="A16" s="9" t="s">
        <v>90</v>
      </c>
      <c r="B16" s="10" t="n">
        <v>300</v>
      </c>
      <c r="C16" s="10" t="n">
        <v>31350</v>
      </c>
      <c r="D16" s="10" t="n">
        <v>61050</v>
      </c>
      <c r="E16" s="10" t="n">
        <v>391196.31</v>
      </c>
      <c r="F16" s="9"/>
    </row>
    <row r="17" customFormat="false" ht="31.3" hidden="false" customHeight="false" outlineLevel="0" collapsed="false">
      <c r="A17" s="9" t="s">
        <v>108</v>
      </c>
      <c r="B17" s="10" t="n">
        <v>570000</v>
      </c>
      <c r="C17" s="10" t="n">
        <v>177500</v>
      </c>
      <c r="D17" s="10" t="n">
        <v>7500</v>
      </c>
      <c r="E17" s="10"/>
      <c r="F17" s="9"/>
    </row>
    <row r="18" customFormat="false" ht="31.3" hidden="false" customHeight="false" outlineLevel="0" collapsed="false">
      <c r="A18" s="9" t="s">
        <v>110</v>
      </c>
      <c r="B18" s="10" t="n">
        <v>429152.63</v>
      </c>
      <c r="C18" s="10" t="n">
        <v>241066</v>
      </c>
      <c r="D18" s="10" t="n">
        <v>393318.62</v>
      </c>
      <c r="E18" s="10" t="n">
        <v>213980.35</v>
      </c>
      <c r="F18" s="9"/>
    </row>
    <row r="19" customFormat="false" ht="31.3" hidden="false" customHeight="false" outlineLevel="0" collapsed="false">
      <c r="A19" s="9" t="s">
        <v>94</v>
      </c>
      <c r="B19" s="10" t="n">
        <v>27361.75</v>
      </c>
      <c r="C19" s="10" t="n">
        <v>47389.2</v>
      </c>
      <c r="D19" s="10" t="n">
        <v>13.04</v>
      </c>
      <c r="E19" s="10" t="n">
        <v>7276.6</v>
      </c>
      <c r="F19" s="9"/>
    </row>
    <row r="20" customFormat="false" ht="16.4" hidden="false" customHeight="false" outlineLevel="0" collapsed="false">
      <c r="A20" s="9" t="s">
        <v>113</v>
      </c>
      <c r="B20" s="10" t="n">
        <v>39768797.73</v>
      </c>
      <c r="C20" s="10" t="n">
        <v>15237.09</v>
      </c>
      <c r="D20" s="10"/>
      <c r="E20" s="10"/>
      <c r="F20" s="9"/>
    </row>
    <row r="21" customFormat="false" ht="31.3" hidden="false" customHeight="false" outlineLevel="0" collapsed="false">
      <c r="A21" s="9" t="s">
        <v>115</v>
      </c>
      <c r="B21" s="10"/>
      <c r="C21" s="10" t="n">
        <v>4636</v>
      </c>
      <c r="D21" s="10" t="n">
        <v>134247.61</v>
      </c>
      <c r="E21" s="10" t="n">
        <v>195.7</v>
      </c>
      <c r="F21" s="9"/>
    </row>
    <row r="22" customFormat="false" ht="31.3" hidden="false" customHeight="false" outlineLevel="0" collapsed="false">
      <c r="A22" s="9" t="s">
        <v>116</v>
      </c>
      <c r="B22" s="10" t="n">
        <v>153362.73</v>
      </c>
      <c r="C22" s="10" t="n">
        <v>1328417.1</v>
      </c>
      <c r="D22" s="10" t="n">
        <v>18464.3</v>
      </c>
      <c r="E22" s="10"/>
      <c r="F22" s="9"/>
    </row>
    <row r="23" customFormat="false" ht="31.3" hidden="false" customHeight="false" outlineLevel="0" collapsed="false">
      <c r="A23" s="9" t="s">
        <v>118</v>
      </c>
      <c r="B23" s="10"/>
      <c r="C23" s="10" t="n">
        <v>473670.4</v>
      </c>
      <c r="D23" s="10"/>
      <c r="E23" s="10"/>
      <c r="F23" s="9"/>
    </row>
    <row r="24" customFormat="false" ht="16.4" hidden="false" customHeight="false" outlineLevel="0" collapsed="false">
      <c r="A24" s="17" t="s">
        <v>227</v>
      </c>
      <c r="B24" s="16" t="n">
        <f aca="false">SUM(B5:B23)</f>
        <v>110179569.76</v>
      </c>
      <c r="C24" s="16" t="n">
        <f aca="false">SUM(C5:C23)</f>
        <v>77750113.74</v>
      </c>
      <c r="D24" s="16" t="n">
        <f aca="false">SUM(D5:D23)</f>
        <v>64545095.75</v>
      </c>
      <c r="E24" s="16" t="n">
        <f aca="false">SUM(E5:E23)</f>
        <v>68545182.07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3"/>
  </cols>
  <sheetData>
    <row r="1" customFormat="false" ht="15" hidden="false" customHeight="false" outlineLevel="0" collapsed="false">
      <c r="A1" s="2" t="s">
        <v>243</v>
      </c>
    </row>
    <row r="2" customFormat="false" ht="15" hidden="false" customHeight="false" outlineLevel="0" collapsed="false">
      <c r="A2" s="5" t="s">
        <v>244</v>
      </c>
    </row>
    <row r="4" customFormat="false" ht="15" hidden="false" customHeight="false" outlineLevel="0" collapsed="false">
      <c r="A4" s="2" t="s">
        <v>245</v>
      </c>
    </row>
    <row r="5" customFormat="false" ht="31.5" hidden="false" customHeight="true" outlineLevel="0" collapsed="false">
      <c r="A5" s="3" t="s">
        <v>246</v>
      </c>
      <c r="B5" s="3" t="s">
        <v>247</v>
      </c>
      <c r="C5" s="3" t="s">
        <v>248</v>
      </c>
      <c r="D5" s="3" t="s">
        <v>249</v>
      </c>
      <c r="E5" s="3" t="s">
        <v>250</v>
      </c>
      <c r="F5" s="3" t="s">
        <v>251</v>
      </c>
      <c r="G5" s="3" t="s">
        <v>252</v>
      </c>
      <c r="H5" s="3" t="s">
        <v>253</v>
      </c>
      <c r="I5" s="3" t="s">
        <v>254</v>
      </c>
    </row>
    <row r="6" customFormat="false" ht="16.4" hidden="false" customHeight="false" outlineLevel="0" collapsed="false">
      <c r="A6" s="9" t="s">
        <v>255</v>
      </c>
      <c r="B6" s="13" t="n">
        <v>352</v>
      </c>
      <c r="C6" s="10" t="n">
        <v>26400</v>
      </c>
      <c r="D6" s="13" t="n">
        <v>4524</v>
      </c>
      <c r="E6" s="10" t="n">
        <v>558626.55</v>
      </c>
      <c r="F6" s="13" t="n">
        <v>2355</v>
      </c>
      <c r="G6" s="10" t="n">
        <v>-91415.08</v>
      </c>
      <c r="H6" s="13" t="n">
        <v>2233</v>
      </c>
      <c r="I6" s="10" t="n">
        <v>89341.24</v>
      </c>
    </row>
    <row r="7" customFormat="false" ht="16.4" hidden="false" customHeight="false" outlineLevel="0" collapsed="false">
      <c r="A7" s="9" t="s">
        <v>256</v>
      </c>
      <c r="B7" s="13" t="n">
        <v>49</v>
      </c>
      <c r="C7" s="10" t="n">
        <v>20700</v>
      </c>
      <c r="D7" s="13" t="n">
        <v>189</v>
      </c>
      <c r="E7" s="10" t="n">
        <v>85050</v>
      </c>
      <c r="F7" s="13" t="n">
        <v>194</v>
      </c>
      <c r="G7" s="10" t="n">
        <v>83250</v>
      </c>
      <c r="H7" s="13" t="n">
        <v>355</v>
      </c>
      <c r="I7" s="10" t="n">
        <v>156150</v>
      </c>
    </row>
    <row r="8" customFormat="false" ht="31.3" hidden="false" customHeight="false" outlineLevel="0" collapsed="false">
      <c r="A8" s="9" t="s">
        <v>257</v>
      </c>
      <c r="B8" s="13" t="n">
        <v>6</v>
      </c>
      <c r="C8" s="10" t="n">
        <v>1000</v>
      </c>
      <c r="D8" s="13" t="n">
        <v>47</v>
      </c>
      <c r="E8" s="10" t="n">
        <v>9400</v>
      </c>
      <c r="F8" s="13" t="n">
        <v>58</v>
      </c>
      <c r="G8" s="10" t="n">
        <v>10600</v>
      </c>
      <c r="H8" s="13" t="n">
        <v>95</v>
      </c>
      <c r="I8" s="10" t="n">
        <v>18800</v>
      </c>
    </row>
    <row r="9" customFormat="false" ht="16.4" hidden="false" customHeight="false" outlineLevel="0" collapsed="false">
      <c r="A9" s="9" t="s">
        <v>258</v>
      </c>
      <c r="B9" s="13" t="n">
        <v>64</v>
      </c>
      <c r="C9" s="10" t="n">
        <v>9600</v>
      </c>
      <c r="D9" s="13" t="n">
        <v>2061</v>
      </c>
      <c r="E9" s="10" t="n">
        <v>18800</v>
      </c>
      <c r="F9" s="13" t="n">
        <v>1172</v>
      </c>
      <c r="G9" s="10" t="n">
        <v>69074.86</v>
      </c>
      <c r="H9" s="13" t="n">
        <v>1667</v>
      </c>
      <c r="I9" s="10" t="n">
        <v>124222.79</v>
      </c>
    </row>
    <row r="10" customFormat="false" ht="16.4" hidden="false" customHeight="false" outlineLevel="0" collapsed="false">
      <c r="A10" s="9" t="s">
        <v>259</v>
      </c>
      <c r="B10" s="13" t="n">
        <v>309</v>
      </c>
      <c r="C10" s="10" t="n">
        <v>207660</v>
      </c>
      <c r="D10" s="13" t="n">
        <v>184</v>
      </c>
      <c r="E10" s="10" t="n">
        <v>64890</v>
      </c>
      <c r="F10" s="13" t="n">
        <v>154</v>
      </c>
      <c r="G10" s="10" t="n">
        <v>102350</v>
      </c>
      <c r="H10" s="13" t="n">
        <v>160</v>
      </c>
      <c r="I10" s="10" t="n">
        <v>50170</v>
      </c>
    </row>
    <row r="11" customFormat="false" ht="16.4" hidden="false" customHeight="false" outlineLevel="0" collapsed="false">
      <c r="A11" s="9" t="s">
        <v>260</v>
      </c>
      <c r="B11" s="13"/>
      <c r="C11" s="10"/>
      <c r="D11" s="13"/>
      <c r="E11" s="10"/>
      <c r="F11" s="13" t="n">
        <v>557</v>
      </c>
      <c r="G11" s="10" t="n">
        <v>326592</v>
      </c>
      <c r="H11" s="13" t="n">
        <v>426</v>
      </c>
      <c r="I11" s="10" t="n">
        <v>258664</v>
      </c>
    </row>
    <row r="12" customFormat="false" ht="16.15" hidden="false" customHeight="false" outlineLevel="0" collapsed="false">
      <c r="A12" s="14" t="s">
        <v>179</v>
      </c>
      <c r="B12" s="15" t="n">
        <v>780</v>
      </c>
      <c r="C12" s="16" t="n">
        <v>265360</v>
      </c>
      <c r="D12" s="15" t="n">
        <v>7005</v>
      </c>
      <c r="E12" s="16" t="n">
        <v>736766.55</v>
      </c>
      <c r="F12" s="15" t="n">
        <v>4490</v>
      </c>
      <c r="G12" s="16" t="n">
        <v>500451.78</v>
      </c>
      <c r="H12" s="15" t="n">
        <v>4936</v>
      </c>
      <c r="I12" s="16" t="n">
        <v>697348.03</v>
      </c>
    </row>
    <row r="15" customFormat="false" ht="15" hidden="false" customHeight="false" outlineLevel="0" collapsed="false">
      <c r="A15" s="2" t="s">
        <v>261</v>
      </c>
    </row>
    <row r="16" customFormat="false" ht="31.5" hidden="false" customHeight="true" outlineLevel="0" collapsed="false">
      <c r="A16" s="3" t="s">
        <v>246</v>
      </c>
      <c r="B16" s="3" t="s">
        <v>262</v>
      </c>
      <c r="C16" s="3" t="s">
        <v>252</v>
      </c>
      <c r="D16" s="3" t="s">
        <v>263</v>
      </c>
      <c r="E16" s="3" t="s">
        <v>254</v>
      </c>
    </row>
    <row r="17" customFormat="false" ht="16.4" hidden="false" customHeight="false" outlineLevel="0" collapsed="false">
      <c r="A17" s="9" t="s">
        <v>264</v>
      </c>
      <c r="B17" s="13" t="n">
        <v>407</v>
      </c>
      <c r="C17" s="10" t="n">
        <v>30600</v>
      </c>
      <c r="D17" s="13" t="n">
        <v>320</v>
      </c>
      <c r="E17" s="10" t="n">
        <v>23550</v>
      </c>
    </row>
    <row r="18" customFormat="false" ht="31.3" hidden="false" customHeight="false" outlineLevel="0" collapsed="false">
      <c r="A18" s="9" t="s">
        <v>265</v>
      </c>
      <c r="B18" s="13" t="n">
        <v>2564</v>
      </c>
      <c r="C18" s="10" t="n">
        <v>184605</v>
      </c>
      <c r="D18" s="13" t="n">
        <v>2845</v>
      </c>
      <c r="E18" s="10" t="n">
        <v>418980</v>
      </c>
    </row>
    <row r="19" customFormat="false" ht="16.15" hidden="false" customHeight="false" outlineLevel="0" collapsed="false">
      <c r="A19" s="14" t="s">
        <v>179</v>
      </c>
      <c r="B19" s="15" t="n">
        <v>2971</v>
      </c>
      <c r="C19" s="16" t="n">
        <v>215205</v>
      </c>
      <c r="D19" s="15" t="n">
        <v>3165</v>
      </c>
      <c r="E19" s="16" t="n">
        <v>442530</v>
      </c>
    </row>
    <row r="22" customFormat="false" ht="15" hidden="false" customHeight="false" outlineLevel="0" collapsed="false">
      <c r="A22" s="2" t="s">
        <v>266</v>
      </c>
    </row>
    <row r="23" customFormat="false" ht="31.5" hidden="false" customHeight="true" outlineLevel="0" collapsed="false">
      <c r="A23" s="3" t="s">
        <v>246</v>
      </c>
      <c r="B23" s="3" t="s">
        <v>262</v>
      </c>
      <c r="C23" s="3" t="s">
        <v>252</v>
      </c>
      <c r="D23" s="3" t="s">
        <v>263</v>
      </c>
      <c r="E23" s="3" t="s">
        <v>254</v>
      </c>
    </row>
    <row r="24" customFormat="false" ht="31.3" hidden="false" customHeight="false" outlineLevel="0" collapsed="false">
      <c r="A24" s="9" t="s">
        <v>267</v>
      </c>
      <c r="B24" s="13" t="n">
        <v>100</v>
      </c>
      <c r="C24" s="10" t="n">
        <v>199339.38</v>
      </c>
      <c r="D24" s="13" t="n">
        <v>122</v>
      </c>
      <c r="E24" s="10" t="n">
        <v>22031.29</v>
      </c>
    </row>
    <row r="25" customFormat="false" ht="16.4" hidden="false" customHeight="false" outlineLevel="0" collapsed="false">
      <c r="A25" s="9" t="s">
        <v>268</v>
      </c>
      <c r="B25" s="13" t="n">
        <v>430</v>
      </c>
      <c r="C25" s="10" t="n">
        <v>1355666.87</v>
      </c>
      <c r="D25" s="13" t="n">
        <v>57</v>
      </c>
      <c r="E25" s="10" t="n">
        <v>99086.06</v>
      </c>
    </row>
    <row r="26" customFormat="false" ht="16.15" hidden="false" customHeight="false" outlineLevel="0" collapsed="false">
      <c r="A26" s="14" t="s">
        <v>179</v>
      </c>
      <c r="B26" s="15" t="n">
        <v>530</v>
      </c>
      <c r="C26" s="16" t="n">
        <v>1555006.25</v>
      </c>
      <c r="D26" s="15" t="n">
        <v>179</v>
      </c>
      <c r="E26" s="16" t="n">
        <v>121117.35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2026-08-09T01:46:42Z</dcterms:created>
  <dc:creator>openpyxl</dc:creator>
  <dc:description/>
  <dc:language>en-US</dc:language>
  <cp:lastModifiedBy/>
  <dcterms:modified xsi:type="dcterms:W3CDTF">2026-08-09T01:46:42Z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